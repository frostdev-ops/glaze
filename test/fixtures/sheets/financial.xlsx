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8051B721-EF3E-7540-895A-0E7EA2254443}" xr6:coauthVersionLast="47" xr6:coauthVersionMax="47" xr10:uidLastSave="{00000000-0000-0000-0000-000000000000}"/>
  <bookViews>
    <workbookView xWindow="3980" yWindow="2780" windowWidth="28040" windowHeight="17180" activeTab="1" xr2:uid="{9E110388-0B84-5F40-93B8-A41757B92F58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8" i="1" l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<sst xmlns="http://schemas.openxmlformats.org/spreadsheetml/2006/main" count="2" uniqueCount="2">
  <si>
    <t>text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</si>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</sst>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8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6881-F39D-5341-9622-8F40B42D5C37}">
  <dimension ref="A1:A58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s="2">
        <f>PMT(0.05/12,360,200000)</f>
        <v>-1073.6432460242781</v>
      </c>
    </row>
    <row r="2" spans="1:1" x14ac:dyDescent="0.2">
      <c r="A2" s="2">
        <f>PMT(0,12,1200)</f>
        <v>-100</v>
      </c>
    </row>
    <row r="3" spans="1:1" x14ac:dyDescent="0.2">
      <c r="A3" s="2">
        <f>PMT(0.05/12,360,200000,0,1)</f>
        <v>-1069.1882947959616</v>
      </c>
    </row>
    <row r="4" spans="1:1" x14ac:dyDescent="0.2">
      <c r="A4" s="2">
        <f>PMT(0.08,10,0,10000)</f>
        <v>-690.29488697075408</v>
      </c>
    </row>
    <row r="5" spans="1:1" x14ac:dyDescent="0.2">
      <c r="A5" s="2" t="e">
        <f>PMT(0.05,0,100)</f>
        <v>#NUM!</v>
      </c>
    </row>
    <row r="6" spans="1:1" x14ac:dyDescent="0.2">
      <c r="A6" s="2">
        <f>PPMT(0.1/12,1,36,8000)</f>
        <v>-191.47083088403323</v>
      </c>
    </row>
    <row r="7" spans="1:1" x14ac:dyDescent="0.2">
      <c r="A7" s="2">
        <f>PPMT(0.1,2,10,100000)</f>
        <v>-6901.9934370762776</v>
      </c>
    </row>
    <row r="8" spans="1:1" x14ac:dyDescent="0.2">
      <c r="A8" s="2" t="e">
        <f>PPMT(0.1,11,10,100000)</f>
        <v>#NUM!</v>
      </c>
    </row>
    <row r="9" spans="1:1" x14ac:dyDescent="0.2">
      <c r="A9" s="2">
        <f>IPMT(0.1/12,1,36,8000)</f>
        <v>-66.666666666666671</v>
      </c>
    </row>
    <row r="10" spans="1:1" x14ac:dyDescent="0.2">
      <c r="A10" s="2">
        <f>IPMT(0.1,3,3,8000)</f>
        <v>-292.44712990936563</v>
      </c>
    </row>
    <row r="11" spans="1:1" x14ac:dyDescent="0.2">
      <c r="A11" s="2">
        <f>IPMT(0.05,1,10,1000,0,1)</f>
        <v>0</v>
      </c>
    </row>
    <row r="12" spans="1:1" x14ac:dyDescent="0.2">
      <c r="A12" s="2">
        <f>PV(0.08/12,240,500)</f>
        <v>-59777.145851187823</v>
      </c>
    </row>
    <row r="13" spans="1:1" x14ac:dyDescent="0.2">
      <c r="A13" s="2">
        <f>PV(0,10,100)</f>
        <v>-1000</v>
      </c>
    </row>
    <row r="14" spans="1:1" x14ac:dyDescent="0.2">
      <c r="A14" s="2">
        <f>PV(0.05,10,-100,0,1)</f>
        <v>810.78216756440543</v>
      </c>
    </row>
    <row r="15" spans="1:1" x14ac:dyDescent="0.2">
      <c r="A15" s="2">
        <f>FV(0.06/12,10,-200,-500,1)</f>
        <v>2581.4033740601185</v>
      </c>
    </row>
    <row r="16" spans="1:1" x14ac:dyDescent="0.2">
      <c r="A16" s="2">
        <f>FV(0,10,-100)</f>
        <v>1000</v>
      </c>
    </row>
    <row r="17" spans="1:1" x14ac:dyDescent="0.2">
      <c r="A17" s="2">
        <f>FV(0.05,10,-100)</f>
        <v>1257.7892535548831</v>
      </c>
    </row>
    <row r="18" spans="1:1" x14ac:dyDescent="0.2">
      <c r="A18" s="2">
        <f>FV(0.1,2,0,-100)</f>
        <v>121.00000000000001</v>
      </c>
    </row>
    <row r="19" spans="1:1" x14ac:dyDescent="0.2">
      <c r="A19">
        <f>NPER(0.12/12,-100,-1000,10000,1)</f>
        <v>59.673865674294568</v>
      </c>
    </row>
    <row r="20" spans="1:1" x14ac:dyDescent="0.2">
      <c r="A20">
        <f>NPER(0,-100,1000)</f>
        <v>10</v>
      </c>
    </row>
    <row r="21" spans="1:1" x14ac:dyDescent="0.2">
      <c r="A21">
        <f>NPER(0.05,100,1000)</f>
        <v>-8.3103862225205614</v>
      </c>
    </row>
    <row r="22" spans="1:1" x14ac:dyDescent="0.2">
      <c r="A22" s="3">
        <f>RATE(48,-200,8000)</f>
        <v>7.7014724882013682E-3</v>
      </c>
    </row>
    <row r="23" spans="1:1" x14ac:dyDescent="0.2">
      <c r="A23" s="3">
        <f>RATE(10,-100,1000,0,0,0.1)</f>
        <v>-1.9633517072925619E-10</v>
      </c>
    </row>
    <row r="24" spans="1:1" x14ac:dyDescent="0.2">
      <c r="A24" s="3" t="e">
        <f>RATE(12,-100,-1000)</f>
        <v>#NUM!</v>
      </c>
    </row>
    <row r="25" spans="1:1" x14ac:dyDescent="0.2">
      <c r="A25">
        <f>RATE(360,-1073.64,200000)*12</f>
        <v>4.9999734436147067E-2</v>
      </c>
    </row>
    <row r="26" spans="1:1" x14ac:dyDescent="0.2">
      <c r="A26" s="2">
        <f>NPV(0.1,Data!R2:R6)+Data!R1</f>
        <v>177.65800895368557</v>
      </c>
    </row>
    <row r="27" spans="1:1" x14ac:dyDescent="0.2">
      <c r="A27" s="2">
        <f>NPV(0.1,-10000,3000,4200,6800)</f>
        <v>1188.4434123352207</v>
      </c>
    </row>
    <row r="28" spans="1:1" x14ac:dyDescent="0.2">
      <c r="A28" s="2">
        <f>NPV(0.1,Data!C1:C8)</f>
        <v>48.159278737791126</v>
      </c>
    </row>
    <row r="29" spans="1:1" x14ac:dyDescent="0.2">
      <c r="A29" s="3">
        <f>IRR(Data!R1:R6)</f>
        <v>0.17638914889488211</v>
      </c>
    </row>
    <row r="30" spans="1:1" x14ac:dyDescent="0.2">
      <c r="A30" s="3">
        <f>IRR(Data!R1:R6,0.1)</f>
        <v>0.17638914889488211</v>
      </c>
    </row>
    <row r="31" spans="1:1" x14ac:dyDescent="0.2">
      <c r="A31" s="3" t="e">
        <f>IRR({-100,-10})</f>
        <v>#NUM!</v>
      </c>
    </row>
    <row r="32" spans="1:1" x14ac:dyDescent="0.2">
      <c r="A32" s="3">
        <f>IRR({-70000,12000,15000,18000,21000,26000})</f>
        <v>8.663094803652216E-2</v>
      </c>
    </row>
    <row r="33" spans="1:1" x14ac:dyDescent="0.2">
      <c r="A33">
        <f>XNPV(0.09,Data!R1:R6,Data!S1:S6)</f>
        <v>418.71272745522583</v>
      </c>
    </row>
    <row r="34" spans="1:1" x14ac:dyDescent="0.2">
      <c r="A34" t="e">
        <f>XNPV(0.09,Data!R1:R6,Data!S1:S5)</f>
        <v>#NUM!</v>
      </c>
    </row>
    <row r="35" spans="1:1" x14ac:dyDescent="0.2">
      <c r="A35">
        <f>XIRR(Data!R1:R6,Data!S1:S6)</f>
        <v>0.91537405252456683</v>
      </c>
    </row>
    <row r="36" spans="1:1" x14ac:dyDescent="0.2">
      <c r="A36">
        <f>XIRR(Data!R1:R6,Data!S1:S6,0.2)</f>
        <v>0.91537405252456683</v>
      </c>
    </row>
    <row r="37" spans="1:1" x14ac:dyDescent="0.2">
      <c r="A37" s="3">
        <f>MIRR(Data!R1:R6,0.1,0.12)</f>
        <v>0.1469963476313858</v>
      </c>
    </row>
    <row r="38" spans="1:1" x14ac:dyDescent="0.2">
      <c r="A38" s="3" t="e">
        <f>MIRR({100,200},0.1,0.1)</f>
        <v>#DIV/0!</v>
      </c>
    </row>
    <row r="39" spans="1:1" x14ac:dyDescent="0.2">
      <c r="A39" s="2">
        <f>SLN(30000,7500,10)</f>
        <v>2250</v>
      </c>
    </row>
    <row r="40" spans="1:1" x14ac:dyDescent="0.2">
      <c r="A40" s="2">
        <f>SYD(30000,7500,10,1)</f>
        <v>4090.909090909091</v>
      </c>
    </row>
    <row r="41" spans="1:1" x14ac:dyDescent="0.2">
      <c r="A41" s="2">
        <f>DB(1000000,100000,6,1,7)</f>
        <v>186083.33333333334</v>
      </c>
    </row>
    <row r="42" spans="1:1" x14ac:dyDescent="0.2">
      <c r="A42" s="2">
        <f>DB(1000000,100000,6,7,7)</f>
        <v>15845.098473848073</v>
      </c>
    </row>
    <row r="43" spans="1:1" x14ac:dyDescent="0.2">
      <c r="A43" s="2">
        <f>DDB(2400,300,10,1)</f>
        <v>480</v>
      </c>
    </row>
    <row r="44" spans="1:1" x14ac:dyDescent="0.2">
      <c r="A44" s="2">
        <f>DDB(2400,300,10,10)</f>
        <v>22.12254720000027</v>
      </c>
    </row>
    <row r="45" spans="1:1" x14ac:dyDescent="0.2">
      <c r="A45" s="2">
        <f>DDB(2400,300,120,1,1.5)</f>
        <v>30</v>
      </c>
    </row>
    <row r="46" spans="1:1" x14ac:dyDescent="0.2">
      <c r="A46" s="2">
        <f>VDB(2400,300,10,0,1)</f>
        <v>480</v>
      </c>
    </row>
    <row r="47" spans="1:1" x14ac:dyDescent="0.2">
      <c r="A47" s="2">
        <f>VDB(2400,300,10,6,10,2,TRUE)</f>
        <v>329.14560000000051</v>
      </c>
    </row>
    <row r="48" spans="1:1" x14ac:dyDescent="0.2">
      <c r="A48">
        <f>EFFECT(0.0525,4)</f>
        <v>5.3542667370758412E-2</v>
      </c>
    </row>
    <row r="49" spans="1:1" x14ac:dyDescent="0.2">
      <c r="A49" t="e">
        <f>EFFECT(0.05,0)</f>
        <v>#NUM!</v>
      </c>
    </row>
    <row r="50" spans="1:1" x14ac:dyDescent="0.2">
      <c r="A50">
        <f>NOMINAL(0.053543,4)</f>
        <v>5.2500319868356016E-2</v>
      </c>
    </row>
    <row r="51" spans="1:1" x14ac:dyDescent="0.2">
      <c r="A51">
        <f>CUMIPMT(0.09/12,360,125000,13,24,0)</f>
        <v>-11135.232130750841</v>
      </c>
    </row>
    <row r="52" spans="1:1" x14ac:dyDescent="0.2">
      <c r="A52">
        <f>CUMPRINC(0.09/12,360,125000,13,24,0)</f>
        <v>-934.10712342089789</v>
      </c>
    </row>
    <row r="53" spans="1:1" x14ac:dyDescent="0.2">
      <c r="A53" t="e">
        <f>CUMIPMT(0.09/12,360,125000,0,24,0)</f>
        <v>#NUM!</v>
      </c>
    </row>
    <row r="54" spans="1:1" x14ac:dyDescent="0.2">
      <c r="A54">
        <f>ISPMT(0.1/12,1,36,8000000)</f>
        <v>-64814.814814814818</v>
      </c>
    </row>
    <row r="55" spans="1:1" x14ac:dyDescent="0.2">
      <c r="A55">
        <f>_xlfn.PDURATION(0.025,2000,2200)</f>
        <v>3.8598661626226551</v>
      </c>
    </row>
    <row r="56" spans="1:1" x14ac:dyDescent="0.2">
      <c r="A56">
        <f>_xlfn.RRI(96,10000,11000)</f>
        <v>9.9330737629133026E-4</v>
      </c>
    </row>
    <row r="57" spans="1:1" x14ac:dyDescent="0.2">
      <c r="A57">
        <f>DOLLARDE(1.02,16)</f>
        <v>1.125</v>
      </c>
    </row>
    <row r="58" spans="1:1" x14ac:dyDescent="0.2">
      <c r="A58">
        <f>DOLLARFR(1.125,16)</f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4B2F-39CB-6A47-99BD-810B9B3C6C2A}">
  <dimension ref="C1:S8"/>
  <sheetViews>
    <sheetView tabSelected="1" workbookViewId="0"/>
  </sheetViews>
  <sheetFormatPr baseColWidth="10" defaultRowHeight="16" x14ac:dyDescent="0.2"/>
  <sheetData>
    <row r="1" spans="3:19" x14ac:dyDescent="0.2">
      <c r="C1">
        <v>10</v>
      </c>
      <c r="R1">
        <v>-1000</v>
      </c>
      <c r="S1">
        <v>45292</v>
      </c>
    </row>
    <row r="2" spans="3:19" x14ac:dyDescent="0.2">
      <c r="C2" s="1" t="s">
        <v>0</v>
      </c>
      <c r="R2">
        <v>300</v>
      </c>
      <c r="S2">
        <v>45383</v>
      </c>
    </row>
    <row r="3" spans="3:19" x14ac:dyDescent="0.2">
      <c r="C3" t="b">
        <v>1</v>
      </c>
      <c r="R3">
        <v>400</v>
      </c>
      <c r="S3">
        <v>45474</v>
      </c>
    </row>
    <row r="4" spans="3:19" x14ac:dyDescent="0.2">
      <c r="R4">
        <v>500</v>
      </c>
      <c r="S4">
        <v>45566</v>
      </c>
    </row>
    <row r="5" spans="3:19" x14ac:dyDescent="0.2">
      <c r="C5">
        <v>20</v>
      </c>
      <c r="R5">
        <v>200</v>
      </c>
      <c r="S5">
        <v>45658</v>
      </c>
    </row>
    <row r="6" spans="3:19" x14ac:dyDescent="0.2">
      <c r="C6" s="1" t="s">
        <v>1</v>
      </c>
      <c r="R6">
        <v>100</v>
      </c>
      <c r="S6">
        <v>45748</v>
      </c>
    </row>
    <row r="7" spans="3:19" x14ac:dyDescent="0.2">
      <c r="C7" t="b">
        <v>0</v>
      </c>
    </row>
    <row r="8" spans="3:19" x14ac:dyDescent="0.2">
      <c r="C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2026-10-30T04:44:22Z</dcterms:created>
  <dcterms:modified xsi:type="dcterms:W3CDTF">2026-10-30T04:44:24Z</dcterms:modified>
</cp:coreProperties>
</file>