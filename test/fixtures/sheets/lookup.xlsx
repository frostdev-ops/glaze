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filterPrivacy="1" defaultThemeVersion="202300"/>
  <xr:revisionPtr revIDLastSave="0" documentId="8_{C320F872-C4E9-EE45-8705-E7FC4625825C}" xr6:coauthVersionLast="47" xr6:coauthVersionMax="47" xr10:uidLastSave="{00000000-0000-0000-0000-000000000000}"/>
  <bookViews>
    <workbookView xWindow="3980" yWindow="2780" windowWidth="28040" windowHeight="17180" activeTab="1" xr2:uid="{429C4723-1D7A-054C-AC90-1347EF17621B}"/>
  </bookViews>
  <sheets>
    <sheet name="Cases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90" i="1" l="1"/>
  <c r="A89" i="1"/>
  <c r="A88" i="1"/>
  <c r="A87" i="1"/>
  <c r="A86" i="1"/>
  <c r="A85" i="1"/>
  <c r="A84" i="1" a="1"/>
  <c r="A83" i="1" a="1"/>
  <c r="A82" i="1" a="1"/>
  <c r="A81" i="1" a="1"/>
  <c r="A80" i="1" a="1"/>
  <c r="A79" i="1"/>
  <c r="A78" i="1" a="1"/>
  <c r="A77" i="1" a="1"/>
  <c r="A76" i="1"/>
  <c r="A75" i="1" a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 a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<sst xmlns="http://schemas.openxmlformats.org/spreadsheetml/2006/main" count="33" uniqueCount="31">
  <si>
    <t>id</t>
  </si>
  <si>
    <t>name</t>
  </si>
  <si>
    <t>score</t>
  </si>
  <si>
    <t>Ann</t>
  </si>
  <si>
    <t>Bob</t>
  </si>
  <si>
    <t>Cy</t>
  </si>
  <si>
    <t>Dee</t>
  </si>
  <si>
    <t>Eve</t>
  </si>
  <si>
    <t>one</t>
  </si>
  <si>
    <t>two</t>
  </si>
  <si>
    <t>three</t>
  </si>
  <si>
    <t>four</t>
  </si>
  <si>
    <t>five</t>
  </si>
  <si>
    <t>six</t>
  </si>
  <si>
    <t>A</t>
  </si>
  <si>
    <t>B</t>
  </si>
  <si>
    <t>C</t>
  </si>
  <si>
    <t>D</t>
  </si>
  <si>
    <t>E</t>
  </si>
  <si>
    <t>F</t>
  </si>
  <si>
    <t>apple</t>
  </si>
  <si>
    <t>Banana</t>
  </si>
  <si>
    <t>cherry</t>
  </si>
  <si>
    <t>apple pie</t>
  </si>
  <si>
    <t>date</t>
  </si>
  <si>
    <t>Apple</t>
  </si>
  <si>
    <t>TRUE</t>
  </si>
  <si>
    <t>text</t>
  </si>
  <si>
    <t>5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</si>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</sst>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2</v>
    <v>1</v>
  </rv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8FDBF-0307-3942-9D92-C376EF24BBDB}">
  <dimension ref="A1:A90"/>
  <sheetViews>
    <sheetView workbookViewId="0"/>
  </sheetViews>
  <sheetFormatPr baseColWidth="10" defaultRowHeight="16" x14ac:dyDescent="0.2"/>
  <cols>
    <col min="1" max="1" width="80.83203125" customWidth="1"/>
  </cols>
  <sheetData>
    <row r="1" spans="1:1" x14ac:dyDescent="0.2">
      <c r="A1" t="str">
        <f>VLOOKUP(102,Data!K2:M6,2,FALSE)</f>
        <v>Bob</v>
      </c>
    </row>
    <row r="2" spans="1:1" x14ac:dyDescent="0.2">
      <c r="A2" t="e">
        <f>VLOOKUP(106,Data!K2:M6,2,FALSE)</f>
        <v>#N/A</v>
      </c>
    </row>
    <row r="3" spans="1:1" x14ac:dyDescent="0.2">
      <c r="A3">
        <f>VLOOKUP(103.5,Data!K2:M6,3,TRUE)</f>
        <v>72</v>
      </c>
    </row>
    <row r="4" spans="1:1" x14ac:dyDescent="0.2">
      <c r="A4" t="e">
        <f>VLOOKUP(100,Data!K2:M6,2,TRUE)</f>
        <v>#N/A</v>
      </c>
    </row>
    <row r="5" spans="1:1" x14ac:dyDescent="0.2">
      <c r="A5" t="str">
        <f>VLOOKUP(102,Data!K2:M6,2)</f>
        <v>Bob</v>
      </c>
    </row>
    <row r="6" spans="1:1" x14ac:dyDescent="0.2">
      <c r="A6">
        <f>VLOOKUP("bob",Data!L2:M6,2,FALSE)</f>
        <v>95</v>
      </c>
    </row>
    <row r="7" spans="1:1" x14ac:dyDescent="0.2">
      <c r="A7">
        <f>VLOOKUP("B*",Data!L2:M6,2,FALSE)</f>
        <v>95</v>
      </c>
    </row>
    <row r="8" spans="1:1" x14ac:dyDescent="0.2">
      <c r="A8" t="e">
        <f>VLOOKUP(102,Data!K2:M6,4,FALSE)</f>
        <v>#REF!</v>
      </c>
    </row>
    <row r="9" spans="1:1" x14ac:dyDescent="0.2">
      <c r="A9" t="e" vm="1">
        <f>VLOOKUP(102,Data!K2:M6,0,FALSE)</f>
        <v>#VALUE!</v>
      </c>
    </row>
    <row r="10" spans="1:1" x14ac:dyDescent="0.2">
      <c r="A10" t="e">
        <f>VLOOKUP("102",Data!K2:M6,2,FALSE)</f>
        <v>#N/A</v>
      </c>
    </row>
    <row r="11" spans="1:1" x14ac:dyDescent="0.2">
      <c r="A11">
        <f>VLOOKUP(95,Data!M2:M6,1,FALSE)</f>
        <v>95</v>
      </c>
    </row>
    <row r="12" spans="1:1" x14ac:dyDescent="0.2">
      <c r="A12" t="str">
        <f>HLOOKUP(3,Data!K10:P11,2,FALSE)</f>
        <v>three</v>
      </c>
    </row>
    <row r="13" spans="1:1" x14ac:dyDescent="0.2">
      <c r="A13" t="str">
        <f>HLOOKUP(3.5,Data!K10:P11,2,TRUE)</f>
        <v>three</v>
      </c>
    </row>
    <row r="14" spans="1:1" x14ac:dyDescent="0.2">
      <c r="A14" t="e">
        <f>HLOOKUP(7,Data!K10:P11,2,FALSE)</f>
        <v>#N/A</v>
      </c>
    </row>
    <row r="15" spans="1:1" x14ac:dyDescent="0.2">
      <c r="A15" t="e">
        <f>HLOOKUP(3,Data!K10:P11,3,FALSE)</f>
        <v>#REF!</v>
      </c>
    </row>
    <row r="16" spans="1:1" x14ac:dyDescent="0.2">
      <c r="A16" t="str">
        <f>LOOKUP(35,Data!N1:N6,Data!O1:O6)</f>
        <v>C</v>
      </c>
    </row>
    <row r="17" spans="1:1" x14ac:dyDescent="0.2">
      <c r="A17" t="e">
        <f>LOOKUP(5,Data!N1:N6,Data!O1:O6)</f>
        <v>#N/A</v>
      </c>
    </row>
    <row r="18" spans="1:1" x14ac:dyDescent="0.2">
      <c r="A18" t="str">
        <f>LOOKUP(100,Data!N1:N6,Data!O1:O6)</f>
        <v>F</v>
      </c>
    </row>
    <row r="19" spans="1:1" x14ac:dyDescent="0.2">
      <c r="A19">
        <f>LOOKUP("C",Data!O1:O6,Data!N1:N6)</f>
        <v>30</v>
      </c>
    </row>
    <row r="20" spans="1:1" x14ac:dyDescent="0.2">
      <c r="A20" t="str">
        <f>LOOKUP(3,{1,2,3;"a","b","c"})</f>
        <v>c</v>
      </c>
    </row>
    <row r="21" spans="1:1" x14ac:dyDescent="0.2">
      <c r="A21">
        <f>MATCH(30,Data!N1:N6,0)</f>
        <v>3</v>
      </c>
    </row>
    <row r="22" spans="1:1" x14ac:dyDescent="0.2">
      <c r="A22">
        <f>MATCH(35,Data!N1:N6,1)</f>
        <v>3</v>
      </c>
    </row>
    <row r="23" spans="1:1" x14ac:dyDescent="0.2">
      <c r="A23">
        <f>MATCH(35,Data!N1:N6)</f>
        <v>3</v>
      </c>
    </row>
    <row r="24" spans="1:1" x14ac:dyDescent="0.2">
      <c r="A24">
        <f>MATCH(35,Data!P1:P6,-1)</f>
        <v>3</v>
      </c>
    </row>
    <row r="25" spans="1:1" x14ac:dyDescent="0.2">
      <c r="A25" t="e">
        <f>MATCH(5,Data!N1:N6,1)</f>
        <v>#N/A</v>
      </c>
    </row>
    <row r="26" spans="1:1" x14ac:dyDescent="0.2">
      <c r="A26" t="e">
        <f>MATCH(70,Data!N1:N6,0)</f>
        <v>#N/A</v>
      </c>
    </row>
    <row r="27" spans="1:1" x14ac:dyDescent="0.2">
      <c r="A27">
        <f>MATCH("c",Data!O1:O6,0)</f>
        <v>3</v>
      </c>
    </row>
    <row r="28" spans="1:1" x14ac:dyDescent="0.2">
      <c r="A28">
        <f>MATCH("b*",Data!E1:E6,0)</f>
        <v>2</v>
      </c>
    </row>
    <row r="29" spans="1:1" x14ac:dyDescent="0.2">
      <c r="A29">
        <f>MATCH("?pple",Data!E1:E6,0)</f>
        <v>1</v>
      </c>
    </row>
    <row r="30" spans="1:1" x14ac:dyDescent="0.2">
      <c r="A30">
        <f>MATCH(TRUE,Data!I1:I4,0)</f>
        <v>1</v>
      </c>
    </row>
    <row r="31" spans="1:1" x14ac:dyDescent="0.2">
      <c r="A31">
        <f>MATCH(95,Data!M2:M6,0)</f>
        <v>2</v>
      </c>
    </row>
    <row r="32" spans="1:1" x14ac:dyDescent="0.2">
      <c r="A32" t="str">
        <f>INDEX(Data!K1:M6,3,2)</f>
        <v>Bob</v>
      </c>
    </row>
    <row r="33" spans="1:1" x14ac:dyDescent="0.2">
      <c r="A33" t="e">
        <f>INDEX(Data!K1:M6,7,1)</f>
        <v>#REF!</v>
      </c>
    </row>
    <row r="34" spans="1:1" x14ac:dyDescent="0.2">
      <c r="A34">
        <f>INDEX(Data!N1:N6,4)</f>
        <v>40</v>
      </c>
    </row>
    <row r="35" spans="1:1" x14ac:dyDescent="0.2">
      <c r="A35">
        <f>INDEX(Data!K10:P10,3)</f>
        <v>3</v>
      </c>
    </row>
    <row r="36" spans="1:1" x14ac:dyDescent="0.2">
      <c r="A36">
        <f>SUM(INDEX(Data!K2:M6,0,3))</f>
        <v>410</v>
      </c>
    </row>
    <row r="37" spans="1:1" x14ac:dyDescent="0.2">
      <c r="A37">
        <f>INDEX((Data!A1:A3,Data!B1:B3),2,1,2)</f>
        <v>7</v>
      </c>
    </row>
    <row r="38" spans="1:1" x14ac:dyDescent="0.2">
      <c r="A38">
        <f>INDEX({1,2;3,4},2,2)</f>
        <v>4</v>
      </c>
    </row>
    <row r="39" spans="1:1" x14ac:dyDescent="0.2">
      <c r="A39" t="str">
        <f>INDEX(Data!L2:L6,MATCH(95,Data!M2:M6,0))</f>
        <v>Bob</v>
      </c>
    </row>
    <row r="40" spans="1:1" x14ac:dyDescent="0.2">
      <c r="A40">
        <f>INDEX(Data!M2:M6,MATCH("dee",Data!L2:L6,0))</f>
        <v>95</v>
      </c>
    </row>
    <row r="41" spans="1:1" x14ac:dyDescent="0.2">
      <c r="A41" t="str">
        <f>_xlfn.XLOOKUP(103,Data!K2:K6,Data!L2:L6)</f>
        <v>Cy</v>
      </c>
    </row>
    <row r="42" spans="1:1" x14ac:dyDescent="0.2">
      <c r="A42" t="e">
        <f>_xlfn.XLOOKUP(106,Data!K2:K6,Data!L2:L6)</f>
        <v>#N/A</v>
      </c>
    </row>
    <row r="43" spans="1:1" x14ac:dyDescent="0.2">
      <c r="A43" t="str">
        <f>_xlfn.XLOOKUP(106,Data!K2:K6,Data!L2:L6,"none")</f>
        <v>none</v>
      </c>
    </row>
    <row r="44" spans="1:1" x14ac:dyDescent="0.2">
      <c r="A44" t="str">
        <f>_xlfn.XLOOKUP(103.5,Data!K2:K6,Data!L2:L6,,-1)</f>
        <v>Cy</v>
      </c>
    </row>
    <row r="45" spans="1:1" x14ac:dyDescent="0.2">
      <c r="A45" t="str">
        <f>_xlfn.XLOOKUP(103.5,Data!K2:K6,Data!L2:L6,,1)</f>
        <v>Dee</v>
      </c>
    </row>
    <row r="46" spans="1:1" x14ac:dyDescent="0.2">
      <c r="A46">
        <f>_xlfn.XLOOKUP("b?b",Data!L2:L6,Data!M2:M6,,2)</f>
        <v>95</v>
      </c>
    </row>
    <row r="47" spans="1:1" x14ac:dyDescent="0.2">
      <c r="A47" t="e">
        <f>_xlfn.XLOOKUP("B*",Data!L2:L6,Data!M2:M6)</f>
        <v>#N/A</v>
      </c>
    </row>
    <row r="48" spans="1:1" x14ac:dyDescent="0.2">
      <c r="A48" t="str">
        <f>_xlfn.XLOOKUP(95,Data!M2:M6,Data!L2:L6,,0,-1)</f>
        <v>Dee</v>
      </c>
    </row>
    <row r="49" spans="1:1" x14ac:dyDescent="0.2">
      <c r="A49" t="str">
        <f>_xlfn.XLOOKUP(95,Data!M2:M6,Data!L2:L6,,0,1)</f>
        <v>Bob</v>
      </c>
    </row>
    <row r="50" spans="1:1" x14ac:dyDescent="0.2">
      <c r="A50" t="str">
        <f>_xlfn.XLOOKUP(40,Data!N1:N6,Data!O1:O6,,0,2)</f>
        <v>D</v>
      </c>
    </row>
    <row r="51" spans="1:1" x14ac:dyDescent="0.2">
      <c r="A51" t="str" cm="1">
        <f t="array" ref="A51">_xlfn.XLOOKUP(2,{1,2,3},{"a","b","c"})</f>
        <v>b</v>
      </c>
    </row>
    <row r="52" spans="1:1" x14ac:dyDescent="0.2">
      <c r="A52">
        <f>_xlfn.XMATCH(40,Data!N1:N6)</f>
        <v>4</v>
      </c>
    </row>
    <row r="53" spans="1:1" x14ac:dyDescent="0.2">
      <c r="A53">
        <f>_xlfn.XMATCH(45,Data!N1:N6,1)</f>
        <v>5</v>
      </c>
    </row>
    <row r="54" spans="1:1" x14ac:dyDescent="0.2">
      <c r="A54">
        <f>_xlfn.XMATCH(45,Data!N1:N6,-1)</f>
        <v>4</v>
      </c>
    </row>
    <row r="55" spans="1:1" x14ac:dyDescent="0.2">
      <c r="A55">
        <f>_xlfn.XMATCH("ch*",Data!E1:E6,2)</f>
        <v>3</v>
      </c>
    </row>
    <row r="56" spans="1:1" x14ac:dyDescent="0.2">
      <c r="A56">
        <f>_xlfn.XMATCH(95,Data!M2:M6,0,-1)</f>
        <v>4</v>
      </c>
    </row>
    <row r="57" spans="1:1" x14ac:dyDescent="0.2">
      <c r="A57" t="e">
        <f>_xlfn.XMATCH(99,Data!N1:N6)</f>
        <v>#N/A</v>
      </c>
    </row>
    <row r="58" spans="1:1" x14ac:dyDescent="0.2">
      <c r="A58">
        <f>CHOOSE(2,Data!A1,Data!B1)</f>
        <v>2</v>
      </c>
    </row>
    <row r="59" spans="1:1" x14ac:dyDescent="0.2">
      <c r="A59">
        <f>SUM(CHOOSE(2,Data!A1:A3,Data!B1:B3))</f>
        <v>10</v>
      </c>
    </row>
    <row r="60" spans="1:1" x14ac:dyDescent="0.2">
      <c r="A60" t="str">
        <f>ADDRESS(2,3)</f>
        <v>$C$2</v>
      </c>
    </row>
    <row r="61" spans="1:1" x14ac:dyDescent="0.2">
      <c r="A61" t="str">
        <f>ADDRESS(2,3,2)</f>
        <v>C$2</v>
      </c>
    </row>
    <row r="62" spans="1:1" x14ac:dyDescent="0.2">
      <c r="A62" t="str">
        <f>ADDRESS(2,3,3)</f>
        <v>$C2</v>
      </c>
    </row>
    <row r="63" spans="1:1" x14ac:dyDescent="0.2">
      <c r="A63" t="str">
        <f>ADDRESS(2,3,4)</f>
        <v>C2</v>
      </c>
    </row>
    <row r="64" spans="1:1" x14ac:dyDescent="0.2">
      <c r="A64" t="str">
        <f>ADDRESS(2,3,1,FALSE)</f>
        <v>R2C3</v>
      </c>
    </row>
    <row r="65" spans="1:1" x14ac:dyDescent="0.2">
      <c r="A65" t="str">
        <f>ADDRESS(2,3,4,FALSE)</f>
        <v>R[2]C[3]</v>
      </c>
    </row>
    <row r="66" spans="1:1" x14ac:dyDescent="0.2">
      <c r="A66" t="str">
        <f>ADDRESS(2,3,1,TRUE,"Sheet 2")</f>
        <v>'Sheet 2'!$C$2</v>
      </c>
    </row>
    <row r="67" spans="1:1" x14ac:dyDescent="0.2">
      <c r="A67" t="str">
        <f>ADDRESS(1,16384)</f>
        <v>$XFD$1</v>
      </c>
    </row>
    <row r="68" spans="1:1" x14ac:dyDescent="0.2">
      <c r="A68" t="e">
        <f>ADDRESS(1,16385)</f>
        <v>#VALUE!</v>
      </c>
    </row>
    <row r="69" spans="1:1" x14ac:dyDescent="0.2">
      <c r="A69">
        <f>ROW(Data!C7)</f>
        <v>7</v>
      </c>
    </row>
    <row r="70" spans="1:1" x14ac:dyDescent="0.2">
      <c r="A70">
        <f>COLUMN(Data!D1)</f>
        <v>4</v>
      </c>
    </row>
    <row r="71" spans="1:1" x14ac:dyDescent="0.2">
      <c r="A71">
        <f>ROWS(Data!A1:A10)</f>
        <v>10</v>
      </c>
    </row>
    <row r="72" spans="1:1" x14ac:dyDescent="0.2">
      <c r="A72">
        <f>COLUMNS(Data!K1:M6)</f>
        <v>3</v>
      </c>
    </row>
    <row r="73" spans="1:1" x14ac:dyDescent="0.2">
      <c r="A73">
        <f>ROWS({1;2;3})</f>
        <v>3</v>
      </c>
    </row>
    <row r="74" spans="1:1" x14ac:dyDescent="0.2">
      <c r="A74">
        <f>COLUMNS({1,2,3,4})</f>
        <v>4</v>
      </c>
    </row>
    <row r="75" spans="1:1" x14ac:dyDescent="0.2">
      <c r="A75" cm="1">
        <f t="array" ref="A75">SUM(ROW(Data!A1:A4))</f>
        <v>10</v>
      </c>
    </row>
    <row r="76" spans="1:1" x14ac:dyDescent="0.2">
      <c r="A76">
        <f>AREAS((Data!A1:A2,Data!B1:B3))</f>
        <v>2</v>
      </c>
    </row>
    <row r="77" spans="1:1" x14ac:dyDescent="0.2">
      <c r="A77" cm="1">
        <f t="array" ref="A77">SUM(TRANSPOSE(Data!A1:A3))</f>
        <v>8</v>
      </c>
    </row>
    <row r="78" spans="1:1" x14ac:dyDescent="0.2">
      <c r="A78" cm="1">
        <f t="array" ref="A78">INDEX(TRANSPOSE(Data!A1:A3),1,2)</f>
        <v>1</v>
      </c>
    </row>
    <row r="79" spans="1:1" x14ac:dyDescent="0.2">
      <c r="A79">
        <f>COUNTA(_xlfn.UNIQUE(Data!V1:V7))</f>
        <v>4</v>
      </c>
    </row>
    <row r="80" spans="1:1" x14ac:dyDescent="0.2">
      <c r="A80" cm="1">
        <f t="array" ref="A80">INDEX(_xlfn._xlws.SORT(Data!A1:A10),1)</f>
        <v>1</v>
      </c>
    </row>
    <row r="81" spans="1:1" x14ac:dyDescent="0.2">
      <c r="A81" cm="1">
        <f t="array" ref="A81">INDEX(_xlfn._xlws.SORT(Data!A1:A10,1,-1),1)</f>
        <v>9</v>
      </c>
    </row>
    <row r="82" spans="1:1" x14ac:dyDescent="0.2">
      <c r="A82" cm="1">
        <f t="array" ref="A82">SUM(_xlfn._xlws.FILTER(Data!A1:A10,Data!A1:A10&gt;4))</f>
        <v>25</v>
      </c>
    </row>
    <row r="83" spans="1:1" x14ac:dyDescent="0.2">
      <c r="A83" t="e" cm="1" vm="2">
        <f t="array" ref="A83">SUM(_xlfn._xlws.FILTER(Data!A1:A10,Data!A1:A10&gt;40))</f>
        <v>#VALUE!</v>
      </c>
    </row>
    <row r="84" spans="1:1" x14ac:dyDescent="0.2">
      <c r="A84" t="str" cm="1">
        <f t="array" ref="A84">INDEX(_xlfn.SORTBY(Data!L2:L6,Data!M2:M6,-1),1)</f>
        <v>Bob</v>
      </c>
    </row>
    <row r="85" spans="1:1" x14ac:dyDescent="0.2">
      <c r="A85">
        <f>SUM(_xlfn.SEQUENCE(4))</f>
        <v>10</v>
      </c>
    </row>
    <row r="86" spans="1:1" x14ac:dyDescent="0.2">
      <c r="A86">
        <f>SUM(_xlfn.SEQUENCE(2,3,10,5))</f>
        <v>135</v>
      </c>
    </row>
    <row r="87" spans="1:1" x14ac:dyDescent="0.2">
      <c r="A87">
        <f>SUM(_xlfn.TAKE(Data!A1:A10,3))</f>
        <v>8</v>
      </c>
    </row>
    <row r="88" spans="1:1" x14ac:dyDescent="0.2">
      <c r="A88">
        <f>SUM(_xlfn.DROP(Data!A1:A10,8))</f>
        <v>8</v>
      </c>
    </row>
    <row r="89" spans="1:1" x14ac:dyDescent="0.2">
      <c r="A89">
        <f>SUM(_xlfn.CHOOSECOLS(Data!K2:M6,3))</f>
        <v>410</v>
      </c>
    </row>
    <row r="90" spans="1:1" x14ac:dyDescent="0.2">
      <c r="A90">
        <f>INDEX(_xlfn.VSTACK({1,2},{3,4}),2,1)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8D02-3CA0-4242-978A-82FA49C6AFDA}">
  <dimension ref="A1:V11"/>
  <sheetViews>
    <sheetView tabSelected="1" workbookViewId="0"/>
  </sheetViews>
  <sheetFormatPr baseColWidth="10" defaultRowHeight="16" x14ac:dyDescent="0.2"/>
  <sheetData>
    <row r="1" spans="1:22" x14ac:dyDescent="0.2">
      <c r="A1">
        <v>3</v>
      </c>
      <c r="B1">
        <v>2</v>
      </c>
      <c r="C1">
        <v>10</v>
      </c>
      <c r="D1">
        <v>-2.5</v>
      </c>
      <c r="E1" s="1" t="s">
        <v>20</v>
      </c>
      <c r="I1" t="b">
        <v>1</v>
      </c>
      <c r="K1" s="1" t="s">
        <v>0</v>
      </c>
      <c r="L1" s="1" t="s">
        <v>1</v>
      </c>
      <c r="M1" s="1" t="s">
        <v>2</v>
      </c>
      <c r="N1">
        <v>10</v>
      </c>
      <c r="O1" s="1" t="s">
        <v>14</v>
      </c>
      <c r="P1">
        <v>60</v>
      </c>
      <c r="V1">
        <v>3</v>
      </c>
    </row>
    <row r="2" spans="1:22" x14ac:dyDescent="0.2">
      <c r="A2">
        <v>1</v>
      </c>
      <c r="B2">
        <v>7</v>
      </c>
      <c r="C2" s="1" t="s">
        <v>27</v>
      </c>
      <c r="D2">
        <v>0</v>
      </c>
      <c r="E2" s="1" t="s">
        <v>21</v>
      </c>
      <c r="I2" t="b">
        <v>0</v>
      </c>
      <c r="K2">
        <v>101</v>
      </c>
      <c r="L2" s="1" t="s">
        <v>3</v>
      </c>
      <c r="M2">
        <v>88</v>
      </c>
      <c r="N2">
        <v>20</v>
      </c>
      <c r="O2" s="1" t="s">
        <v>15</v>
      </c>
      <c r="P2">
        <v>50</v>
      </c>
      <c r="V2" s="1" t="s">
        <v>29</v>
      </c>
    </row>
    <row r="3" spans="1:22" x14ac:dyDescent="0.2">
      <c r="A3">
        <v>4</v>
      </c>
      <c r="B3">
        <v>1</v>
      </c>
      <c r="C3" t="b">
        <v>1</v>
      </c>
      <c r="D3">
        <v>1.25</v>
      </c>
      <c r="E3" s="1" t="s">
        <v>22</v>
      </c>
      <c r="I3" t="b">
        <v>1</v>
      </c>
      <c r="K3">
        <v>102</v>
      </c>
      <c r="L3" s="1" t="s">
        <v>4</v>
      </c>
      <c r="M3">
        <v>95</v>
      </c>
      <c r="N3">
        <v>30</v>
      </c>
      <c r="O3" s="1" t="s">
        <v>16</v>
      </c>
      <c r="P3">
        <v>40</v>
      </c>
      <c r="V3">
        <v>3</v>
      </c>
    </row>
    <row r="4" spans="1:22" x14ac:dyDescent="0.2">
      <c r="A4">
        <v>1</v>
      </c>
      <c r="B4">
        <v>8</v>
      </c>
      <c r="D4">
        <v>-7</v>
      </c>
      <c r="E4" s="1" t="s">
        <v>23</v>
      </c>
      <c r="I4" s="1" t="s">
        <v>26</v>
      </c>
      <c r="K4">
        <v>103</v>
      </c>
      <c r="L4" s="1" t="s">
        <v>5</v>
      </c>
      <c r="M4">
        <v>72</v>
      </c>
      <c r="N4">
        <v>40</v>
      </c>
      <c r="O4" s="1" t="s">
        <v>17</v>
      </c>
      <c r="P4">
        <v>30</v>
      </c>
      <c r="V4" s="1" t="s">
        <v>30</v>
      </c>
    </row>
    <row r="5" spans="1:22" x14ac:dyDescent="0.2">
      <c r="A5">
        <v>5</v>
      </c>
      <c r="B5">
        <v>2</v>
      </c>
      <c r="C5">
        <v>20</v>
      </c>
      <c r="D5">
        <v>100</v>
      </c>
      <c r="E5" s="1" t="s">
        <v>24</v>
      </c>
      <c r="K5">
        <v>104</v>
      </c>
      <c r="L5" s="1" t="s">
        <v>6</v>
      </c>
      <c r="M5">
        <v>95</v>
      </c>
      <c r="N5">
        <v>50</v>
      </c>
      <c r="O5" s="1" t="s">
        <v>18</v>
      </c>
      <c r="P5">
        <v>20</v>
      </c>
      <c r="V5" s="1" t="s">
        <v>29</v>
      </c>
    </row>
    <row r="6" spans="1:22" x14ac:dyDescent="0.2">
      <c r="A6">
        <v>9</v>
      </c>
      <c r="B6">
        <v>8</v>
      </c>
      <c r="C6" s="1" t="s">
        <v>28</v>
      </c>
      <c r="D6">
        <v>1E-3</v>
      </c>
      <c r="E6" s="1" t="s">
        <v>25</v>
      </c>
      <c r="K6">
        <v>105</v>
      </c>
      <c r="L6" s="1" t="s">
        <v>7</v>
      </c>
      <c r="M6">
        <v>60</v>
      </c>
      <c r="N6">
        <v>60</v>
      </c>
      <c r="O6" s="1" t="s">
        <v>19</v>
      </c>
      <c r="P6">
        <v>10</v>
      </c>
      <c r="V6">
        <v>5</v>
      </c>
    </row>
    <row r="7" spans="1:22" x14ac:dyDescent="0.2">
      <c r="A7">
        <v>2</v>
      </c>
      <c r="B7">
        <v>1</v>
      </c>
      <c r="C7" t="b">
        <v>0</v>
      </c>
      <c r="V7" s="1" t="s">
        <v>14</v>
      </c>
    </row>
    <row r="8" spans="1:22" x14ac:dyDescent="0.2">
      <c r="A8">
        <v>6</v>
      </c>
      <c r="B8">
        <v>8</v>
      </c>
      <c r="C8">
        <v>30</v>
      </c>
    </row>
    <row r="9" spans="1:22" x14ac:dyDescent="0.2">
      <c r="A9">
        <v>5</v>
      </c>
      <c r="B9">
        <v>2</v>
      </c>
    </row>
    <row r="10" spans="1:22" x14ac:dyDescent="0.2">
      <c r="A10">
        <v>3</v>
      </c>
      <c r="B10">
        <v>8</v>
      </c>
      <c r="K10">
        <v>1</v>
      </c>
      <c r="L10">
        <v>2</v>
      </c>
      <c r="M10">
        <v>3</v>
      </c>
      <c r="N10">
        <v>4</v>
      </c>
      <c r="O10">
        <v>5</v>
      </c>
      <c r="P10">
        <v>6</v>
      </c>
    </row>
    <row r="11" spans="1:22" x14ac:dyDescent="0.2">
      <c r="K11" s="1" t="s">
        <v>8</v>
      </c>
      <c r="L11" s="1" t="s">
        <v>9</v>
      </c>
      <c r="M11" s="1" t="s">
        <v>10</v>
      </c>
      <c r="N11" s="1" t="s">
        <v>11</v>
      </c>
      <c r="O11" s="1" t="s">
        <v>12</v>
      </c>
      <c r="P1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2026-10-30T04:44:06Z</dcterms:created>
  <dcterms:modified xsi:type="dcterms:W3CDTF">2026-10-30T04:44:10Z</dcterms:modified>
</cp:coreProperties>
</file>