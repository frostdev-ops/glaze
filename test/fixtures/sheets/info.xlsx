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filterPrivacy="1" defaultThemeVersion="202300"/>
  <xr:revisionPtr revIDLastSave="0" documentId="8_{61A5ED75-4550-5A45-BBAC-3762EA53DE05}" xr6:coauthVersionLast="47" xr6:coauthVersionMax="47" xr10:uidLastSave="{00000000-0000-0000-0000-000000000000}"/>
  <bookViews>
    <workbookView xWindow="3980" yWindow="2780" windowWidth="28040" windowHeight="17180" activeTab="1" xr2:uid="{DD79D8AC-75B1-1542-9630-AE93042C9F16}"/>
  </bookViews>
  <sheets>
    <sheet name="Cas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9" i="1" l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 a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0" i="1"/>
  <c r="A9" i="1"/>
  <c r="A8" i="1"/>
  <c r="A7" i="1"/>
  <c r="A6" i="1"/>
  <c r="A5" i="1"/>
  <c r="A4" i="1"/>
  <c r="A3" i="1"/>
  <c r="A1" i="1"/>
  <c r="AF1" i="2"/>
  <c r="H2" i="2"/>
  <c r="A11" i="1" l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<sst xmlns="http://schemas.openxmlformats.org/spreadsheetml/2006/main" count="11" uniqueCount="11">
  <si>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 xml:space="preserve"> </t>
  </si>
  <si>
    <t>text</t>
  </si>
  <si>
    <t>5</t>
  </si>
  <si>
    <t>TRUE</t>
  </si>
  <si>
    <t>plain</t>
  </si>
  <si>
    <t>apple</t>
  </si>
  <si>
    <t>Banana</t>
  </si>
  <si>
    <t>cherry</t>
  </si>
  <si>
    <t>apple pie</t>
  </si>
  <si>
    <t>date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</si>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</sst>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7A25-D04C-FB4F-A0CC-C07679932EEF}">
  <dimension ref="A1:A59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 t="b">
        <f>ISBLANK(Data!H1)</f>
        <v>1</v>
      </c>
    </row>
    <row r="2" spans="1:1" x14ac:dyDescent="0.2">
      <c r="A2" t="b">
        <f>ISBLANK(Data!H2)</f>
        <v>0</v>
      </c>
    </row>
    <row r="3" spans="1:1" x14ac:dyDescent="0.2">
      <c r="A3" t="b">
        <f>ISBLANK(Data!H3)</f>
        <v>0</v>
      </c>
    </row>
    <row r="4" spans="1:1" x14ac:dyDescent="0.2">
      <c r="A4" t="b">
        <f>ISBLANK("")</f>
        <v>0</v>
      </c>
    </row>
    <row r="5" spans="1:1" x14ac:dyDescent="0.2">
      <c r="A5" t="b">
        <f>ISNUMBER(Data!A1)</f>
        <v>1</v>
      </c>
    </row>
    <row r="6" spans="1:1" x14ac:dyDescent="0.2">
      <c r="A6" t="b">
        <f>ISNUMBER(Data!C6)</f>
        <v>0</v>
      </c>
    </row>
    <row r="7" spans="1:1" x14ac:dyDescent="0.2">
      <c r="A7" t="b">
        <f>ISNUMBER("5")</f>
        <v>0</v>
      </c>
    </row>
    <row r="8" spans="1:1" x14ac:dyDescent="0.2">
      <c r="A8" t="b">
        <f>ISNUMBER(Data!F1)</f>
        <v>1</v>
      </c>
    </row>
    <row r="9" spans="1:1" x14ac:dyDescent="0.2">
      <c r="A9" t="b">
        <f>ISNUMBER(1/0)</f>
        <v>0</v>
      </c>
    </row>
    <row r="10" spans="1:1" x14ac:dyDescent="0.2">
      <c r="A10" t="b">
        <f>ISTEXT(Data!C6)</f>
        <v>1</v>
      </c>
    </row>
    <row r="11" spans="1:1" x14ac:dyDescent="0.2">
      <c r="A11" t="b">
        <f>ISTEXT(Data!H2)</f>
        <v>1</v>
      </c>
    </row>
    <row r="12" spans="1:1" x14ac:dyDescent="0.2">
      <c r="A12" t="b">
        <f>ISTEXT(Data!H1)</f>
        <v>0</v>
      </c>
    </row>
    <row r="13" spans="1:1" x14ac:dyDescent="0.2">
      <c r="A13" t="b">
        <f>ISNONTEXT(Data!H1)</f>
        <v>1</v>
      </c>
    </row>
    <row r="14" spans="1:1" x14ac:dyDescent="0.2">
      <c r="A14" t="b">
        <f>ISLOGICAL(Data!I1)</f>
        <v>1</v>
      </c>
    </row>
    <row r="15" spans="1:1" x14ac:dyDescent="0.2">
      <c r="A15" t="b">
        <f>ISLOGICAL(Data!I4)</f>
        <v>0</v>
      </c>
    </row>
    <row r="16" spans="1:1" x14ac:dyDescent="0.2">
      <c r="A16" t="b">
        <f>ISERROR(Data!G1)</f>
        <v>1</v>
      </c>
    </row>
    <row r="17" spans="1:1" x14ac:dyDescent="0.2">
      <c r="A17" t="b">
        <f>ISERROR(Data!G3)</f>
        <v>0</v>
      </c>
    </row>
    <row r="18" spans="1:1" x14ac:dyDescent="0.2">
      <c r="A18" t="b">
        <f>ISERR(Data!G1)</f>
        <v>0</v>
      </c>
    </row>
    <row r="19" spans="1:1" x14ac:dyDescent="0.2">
      <c r="A19" t="b">
        <f>ISERR(Data!G2)</f>
        <v>1</v>
      </c>
    </row>
    <row r="20" spans="1:1" x14ac:dyDescent="0.2">
      <c r="A20" t="b">
        <f>ISNA(Data!G1)</f>
        <v>1</v>
      </c>
    </row>
    <row r="21" spans="1:1" x14ac:dyDescent="0.2">
      <c r="A21" t="b">
        <f>ISNA(Data!G2)</f>
        <v>0</v>
      </c>
    </row>
    <row r="22" spans="1:1" x14ac:dyDescent="0.2">
      <c r="A22" t="b">
        <f>ISREF(Data!A1)</f>
        <v>1</v>
      </c>
    </row>
    <row r="23" spans="1:1" x14ac:dyDescent="0.2">
      <c r="A23" t="b">
        <f>ISREF("Data!A1")</f>
        <v>0</v>
      </c>
    </row>
    <row r="24" spans="1:1" x14ac:dyDescent="0.2">
      <c r="A24" t="b">
        <f>_xlfn.ISFORMULA(Data!AF1)</f>
        <v>1</v>
      </c>
    </row>
    <row r="25" spans="1:1" x14ac:dyDescent="0.2">
      <c r="A25" t="b">
        <f>_xlfn.ISFORMULA(Data!AF2)</f>
        <v>0</v>
      </c>
    </row>
    <row r="26" spans="1:1" x14ac:dyDescent="0.2">
      <c r="A26" t="b">
        <f>ISEVEN(4)</f>
        <v>1</v>
      </c>
    </row>
    <row r="27" spans="1:1" x14ac:dyDescent="0.2">
      <c r="A27" t="b">
        <f>ISEVEN(2.9)</f>
        <v>1</v>
      </c>
    </row>
    <row r="28" spans="1:1" x14ac:dyDescent="0.2">
      <c r="A28" t="b">
        <f>ISEVEN(Data!H1)</f>
        <v>1</v>
      </c>
    </row>
    <row r="29" spans="1:1" x14ac:dyDescent="0.2">
      <c r="A29" t="b">
        <f>ISODD(3)</f>
        <v>1</v>
      </c>
    </row>
    <row r="30" spans="1:1" x14ac:dyDescent="0.2">
      <c r="A30" t="b">
        <f>ISODD(-3.5)</f>
        <v>1</v>
      </c>
    </row>
    <row r="31" spans="1:1" x14ac:dyDescent="0.2">
      <c r="A31" t="e">
        <f>ISODD("x")</f>
        <v>#VALUE!</v>
      </c>
    </row>
    <row r="32" spans="1:1" x14ac:dyDescent="0.2">
      <c r="A32">
        <f>N(5)</f>
        <v>5</v>
      </c>
    </row>
    <row r="33" spans="1:1" x14ac:dyDescent="0.2">
      <c r="A33">
        <f>N("5")</f>
        <v>0</v>
      </c>
    </row>
    <row r="34" spans="1:1" x14ac:dyDescent="0.2">
      <c r="A34">
        <f>N(TRUE)</f>
        <v>1</v>
      </c>
    </row>
    <row r="35" spans="1:1" x14ac:dyDescent="0.2">
      <c r="A35">
        <f>N(Data!E1)</f>
        <v>0</v>
      </c>
    </row>
    <row r="36" spans="1:1" x14ac:dyDescent="0.2">
      <c r="A36" t="e">
        <f>N(Data!G1)</f>
        <v>#N/A</v>
      </c>
    </row>
    <row r="37" spans="1:1" x14ac:dyDescent="0.2">
      <c r="A37">
        <f>N(Data!F1)</f>
        <v>45306</v>
      </c>
    </row>
    <row r="38" spans="1:1" x14ac:dyDescent="0.2">
      <c r="A38">
        <f>TYPE(1)</f>
        <v>1</v>
      </c>
    </row>
    <row r="39" spans="1:1" x14ac:dyDescent="0.2">
      <c r="A39">
        <f>TYPE("a")</f>
        <v>2</v>
      </c>
    </row>
    <row r="40" spans="1:1" x14ac:dyDescent="0.2">
      <c r="A40">
        <f>TYPE(TRUE)</f>
        <v>4</v>
      </c>
    </row>
    <row r="41" spans="1:1" x14ac:dyDescent="0.2">
      <c r="A41">
        <f>TYPE(#N/A)</f>
        <v>16</v>
      </c>
    </row>
    <row r="42" spans="1:1" x14ac:dyDescent="0.2">
      <c r="A42">
        <f>TYPE({1,2})</f>
        <v>64</v>
      </c>
    </row>
    <row r="43" spans="1:1" x14ac:dyDescent="0.2">
      <c r="A43">
        <f>TYPE(Data!H1)</f>
        <v>1</v>
      </c>
    </row>
    <row r="44" spans="1:1" x14ac:dyDescent="0.2">
      <c r="A44" cm="1">
        <f t="array" ref="A44">TYPE(Data!A1:A2)</f>
        <v>64</v>
      </c>
    </row>
    <row r="45" spans="1:1" x14ac:dyDescent="0.2">
      <c r="A45">
        <f>ERROR.TYPE(#NULL!)</f>
        <v>1</v>
      </c>
    </row>
    <row r="46" spans="1:1" x14ac:dyDescent="0.2">
      <c r="A46">
        <f>ERROR.TYPE(#DIV/0!)</f>
        <v>2</v>
      </c>
    </row>
    <row r="47" spans="1:1" x14ac:dyDescent="0.2">
      <c r="A47">
        <f>ERROR.TYPE(#VALUE!)</f>
        <v>3</v>
      </c>
    </row>
    <row r="48" spans="1:1" x14ac:dyDescent="0.2">
      <c r="A48">
        <f>ERROR.TYPE(#REF!)</f>
        <v>4</v>
      </c>
    </row>
    <row r="49" spans="1:1" x14ac:dyDescent="0.2">
      <c r="A49">
        <f>ERROR.TYPE(#NAME?)</f>
        <v>5</v>
      </c>
    </row>
    <row r="50" spans="1:1" x14ac:dyDescent="0.2">
      <c r="A50">
        <f>ERROR.TYPE(#NUM!)</f>
        <v>6</v>
      </c>
    </row>
    <row r="51" spans="1:1" x14ac:dyDescent="0.2">
      <c r="A51">
        <f>ERROR.TYPE(#N/A)</f>
        <v>7</v>
      </c>
    </row>
    <row r="52" spans="1:1" x14ac:dyDescent="0.2">
      <c r="A52" t="e">
        <f>ERROR.TYPE(1)</f>
        <v>#N/A</v>
      </c>
    </row>
    <row r="53" spans="1:1" x14ac:dyDescent="0.2">
      <c r="A53">
        <f>ERROR.TYPE(Data!G2)</f>
        <v>2</v>
      </c>
    </row>
    <row r="54" spans="1:1" x14ac:dyDescent="0.2">
      <c r="A54" t="e">
        <f>NA()</f>
        <v>#N/A</v>
      </c>
    </row>
    <row r="55" spans="1:1" x14ac:dyDescent="0.2">
      <c r="A55">
        <f ca="1">_xlfn.SHEET()</f>
        <v>1</v>
      </c>
    </row>
    <row r="56" spans="1:1" x14ac:dyDescent="0.2">
      <c r="A56">
        <f ca="1">_xlfn.SHEET(Data!A1)</f>
        <v>2</v>
      </c>
    </row>
    <row r="57" spans="1:1" x14ac:dyDescent="0.2">
      <c r="A57">
        <f ca="1">_xlfn.SHEETS()</f>
        <v>2</v>
      </c>
    </row>
    <row r="58" spans="1:1" x14ac:dyDescent="0.2">
      <c r="A58" t="str">
        <f ca="1">_xlfn.FORMULATEXT(Data!AF1)</f>
        <v>=1+1</v>
      </c>
    </row>
    <row r="59" spans="1:1" x14ac:dyDescent="0.2">
      <c r="A59" t="e">
        <f ca="1">_xlfn.FORMULATEXT(Data!AF2)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2765-3F96-7042-BAE7-3F10CF56C5D8}">
  <dimension ref="A1:AF10"/>
  <sheetViews>
    <sheetView tabSelected="1" workbookViewId="0"/>
  </sheetViews>
  <sheetFormatPr baseColWidth="10" defaultRowHeight="16" x14ac:dyDescent="0.2"/>
  <sheetData>
    <row r="1" spans="1:32" x14ac:dyDescent="0.2">
      <c r="A1">
        <v>3</v>
      </c>
      <c r="C1">
        <v>10</v>
      </c>
      <c r="E1" s="1" t="s">
        <v>5</v>
      </c>
      <c r="F1">
        <v>45306</v>
      </c>
      <c r="G1" t="e">
        <v>#N/A</v>
      </c>
      <c r="I1" t="b">
        <v>1</v>
      </c>
      <c r="AF1">
        <f>1+1</f>
        <v>2</v>
      </c>
    </row>
    <row r="2" spans="1:32" x14ac:dyDescent="0.2">
      <c r="A2">
        <v>1</v>
      </c>
      <c r="C2" s="1" t="s">
        <v>1</v>
      </c>
      <c r="E2" s="1" t="s">
        <v>6</v>
      </c>
      <c r="F2">
        <v>45351</v>
      </c>
      <c r="G2" t="e">
        <v>#DIV/0!</v>
      </c>
      <c r="H2" t="str">
        <f>""</f>
        <v/>
      </c>
      <c r="I2" t="b">
        <v>0</v>
      </c>
      <c r="AF2" s="1" t="s">
        <v>4</v>
      </c>
    </row>
    <row r="3" spans="1:32" x14ac:dyDescent="0.2">
      <c r="A3">
        <v>4</v>
      </c>
      <c r="C3" t="b">
        <v>1</v>
      </c>
      <c r="E3" s="1" t="s">
        <v>7</v>
      </c>
      <c r="F3">
        <v>45657</v>
      </c>
      <c r="G3">
        <v>7</v>
      </c>
      <c r="H3" s="1" t="s">
        <v>0</v>
      </c>
      <c r="I3" t="b">
        <v>1</v>
      </c>
    </row>
    <row r="4" spans="1:32" x14ac:dyDescent="0.2">
      <c r="A4">
        <v>1</v>
      </c>
      <c r="E4" s="1" t="s">
        <v>8</v>
      </c>
      <c r="F4">
        <v>45717</v>
      </c>
      <c r="H4">
        <v>0</v>
      </c>
      <c r="I4" s="1" t="s">
        <v>3</v>
      </c>
    </row>
    <row r="5" spans="1:32" x14ac:dyDescent="0.2">
      <c r="A5">
        <v>5</v>
      </c>
      <c r="C5">
        <v>20</v>
      </c>
      <c r="E5" s="1" t="s">
        <v>9</v>
      </c>
      <c r="F5">
        <v>59</v>
      </c>
    </row>
    <row r="6" spans="1:32" x14ac:dyDescent="0.2">
      <c r="A6">
        <v>9</v>
      </c>
      <c r="C6" s="1" t="s">
        <v>2</v>
      </c>
      <c r="E6" s="1" t="s">
        <v>10</v>
      </c>
      <c r="F6">
        <v>61</v>
      </c>
    </row>
    <row r="7" spans="1:32" x14ac:dyDescent="0.2">
      <c r="A7">
        <v>2</v>
      </c>
      <c r="C7" t="b">
        <v>0</v>
      </c>
    </row>
    <row r="8" spans="1:32" x14ac:dyDescent="0.2">
      <c r="A8">
        <v>6</v>
      </c>
      <c r="C8">
        <v>30</v>
      </c>
    </row>
    <row r="9" spans="1:32" x14ac:dyDescent="0.2">
      <c r="A9">
        <v>5</v>
      </c>
    </row>
    <row r="10" spans="1:32" x14ac:dyDescent="0.2">
      <c r="A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2026-10-30T04:44:19Z</dcterms:created>
  <dcterms:modified xsi:type="dcterms:W3CDTF">2026-10-30T04:44:22Z</dcterms:modified>
</cp:coreProperties>
</file>