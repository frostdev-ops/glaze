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6A4F9D41-C258-D849-9312-543A084E3FCB}" xr6:coauthVersionLast="47" xr6:coauthVersionMax="47" xr10:uidLastSave="{00000000-0000-0000-0000-000000000000}"/>
  <bookViews>
    <workbookView xWindow="3980" yWindow="2780" windowWidth="28040" windowHeight="17180" activeTab="1" xr2:uid="{C0E270D3-AB9B-6B4F-B194-015AD0AB4FF7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3" i="1" l="1"/>
  <c r="A162" i="1"/>
  <c r="A161" i="1"/>
  <c r="A160" i="1" a="1"/>
  <c r="A159" i="1" a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 a="1"/>
  <c r="A93" i="1"/>
  <c r="A92" i="1" a="1"/>
  <c r="A91" i="1" a="1"/>
  <c r="A90" i="1" a="1"/>
  <c r="A89" i="1" a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4" i="1"/>
  <c r="A13" i="1"/>
  <c r="A12" i="1"/>
  <c r="A11" i="1"/>
  <c r="A10" i="1" a="1"/>
  <c r="A9" i="1"/>
  <c r="A8" i="1"/>
  <c r="A7" i="1"/>
  <c r="A6" i="1"/>
  <c r="A5" i="1"/>
  <c r="A4" i="1"/>
  <c r="A3" i="1"/>
  <c r="A2" i="1"/>
  <c r="A1" i="1"/>
  <c r="H2" i="2"/>
  <c r="A16" i="1" l="1"/>
  <c r="A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<sst xmlns="http://schemas.openxmlformats.org/spreadsheetml/2006/main" count="9" uniqueCount="9">
  <si>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text</t>
  </si>
  <si>
    <t>5</t>
  </si>
  <si>
    <t xml:space="preserve"> </t>
  </si>
  <si>
    <t>apple</t>
  </si>
  <si>
    <t>Banana</t>
  </si>
  <si>
    <t>cherry</t>
  </si>
  <si>
    <t>apple pie</t>
  </si>
  <si>
    <t>date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</si>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</sst>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D709-0A30-3D48-A6D0-17BAA84DF9B5}">
  <dimension ref="A1:A163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>
        <f>AVERAGE(Data!A1:A10)</f>
        <v>3.9</v>
      </c>
    </row>
    <row r="2" spans="1:1" x14ac:dyDescent="0.2">
      <c r="A2">
        <f>AVERAGE(Data!C1:C8)</f>
        <v>20</v>
      </c>
    </row>
    <row r="3" spans="1:1" x14ac:dyDescent="0.2">
      <c r="A3">
        <f>AVERAGE(1,"2",TRUE)</f>
        <v>1.3333333333333333</v>
      </c>
    </row>
    <row r="4" spans="1:1" x14ac:dyDescent="0.2">
      <c r="A4" t="e">
        <f>AVERAGE(Data!H1)</f>
        <v>#DIV/0!</v>
      </c>
    </row>
    <row r="5" spans="1:1" x14ac:dyDescent="0.2">
      <c r="A5">
        <f>AVERAGEA(Data!C1:C8)</f>
        <v>8.7142857142857135</v>
      </c>
    </row>
    <row r="6" spans="1:1" x14ac:dyDescent="0.2">
      <c r="A6">
        <f>MEDIAN(Data!A1:A10)</f>
        <v>3.5</v>
      </c>
    </row>
    <row r="7" spans="1:1" x14ac:dyDescent="0.2">
      <c r="A7">
        <f>MEDIAN(Data!A1:A9)</f>
        <v>4</v>
      </c>
    </row>
    <row r="8" spans="1:1" x14ac:dyDescent="0.2">
      <c r="A8">
        <f>MODE(Data!A1:A10)</f>
        <v>3</v>
      </c>
    </row>
    <row r="9" spans="1:1" x14ac:dyDescent="0.2">
      <c r="A9">
        <f>_xlfn.MODE.SNGL(Data!A1:A10)</f>
        <v>3</v>
      </c>
    </row>
    <row r="10" spans="1:1" x14ac:dyDescent="0.2">
      <c r="A10" cm="1">
        <f t="array" ref="A10">INDEX(_xlfn.MODE.MULT(Data!A1:A10),2)</f>
        <v>1</v>
      </c>
    </row>
    <row r="11" spans="1:1" x14ac:dyDescent="0.2">
      <c r="A11" t="e">
        <f>MODE(1,2,3)</f>
        <v>#N/A</v>
      </c>
    </row>
    <row r="12" spans="1:1" x14ac:dyDescent="0.2">
      <c r="A12">
        <f>COUNT(Data!C1:C8)</f>
        <v>3</v>
      </c>
    </row>
    <row r="13" spans="1:1" x14ac:dyDescent="0.2">
      <c r="A13">
        <f>COUNT(1,"2","x",TRUE)</f>
        <v>3</v>
      </c>
    </row>
    <row r="14" spans="1:1" x14ac:dyDescent="0.2">
      <c r="A14">
        <f>COUNTA(Data!C1:C8)</f>
        <v>7</v>
      </c>
    </row>
    <row r="15" spans="1:1" x14ac:dyDescent="0.2">
      <c r="A15">
        <f>COUNTA(Data!H1:H4)</f>
        <v>3</v>
      </c>
    </row>
    <row r="16" spans="1:1" x14ac:dyDescent="0.2">
      <c r="A16">
        <f>COUNTBLANK(Data!H1:H4)</f>
        <v>2</v>
      </c>
    </row>
    <row r="17" spans="1:1" x14ac:dyDescent="0.2">
      <c r="A17">
        <f>COUNTBLANK(Data!C1:C8)</f>
        <v>1</v>
      </c>
    </row>
    <row r="18" spans="1:1" x14ac:dyDescent="0.2">
      <c r="A18">
        <f>MAX(Data!A1:A10)</f>
        <v>9</v>
      </c>
    </row>
    <row r="19" spans="1:1" x14ac:dyDescent="0.2">
      <c r="A19">
        <f>MIN(Data!D1:D6)</f>
        <v>-7</v>
      </c>
    </row>
    <row r="20" spans="1:1" x14ac:dyDescent="0.2">
      <c r="A20">
        <f>MAX(Data!C1:C8)</f>
        <v>30</v>
      </c>
    </row>
    <row r="21" spans="1:1" x14ac:dyDescent="0.2">
      <c r="A21">
        <f>MAXA(Data!C1:C8)</f>
        <v>30</v>
      </c>
    </row>
    <row r="22" spans="1:1" x14ac:dyDescent="0.2">
      <c r="A22">
        <f>MINA(Data!C1:C8)</f>
        <v>0</v>
      </c>
    </row>
    <row r="23" spans="1:1" x14ac:dyDescent="0.2">
      <c r="A23">
        <f>MAX(Data!E1:E6)</f>
        <v>0</v>
      </c>
    </row>
    <row r="24" spans="1:1" x14ac:dyDescent="0.2">
      <c r="A24">
        <f>MAX("5",3)</f>
        <v>5</v>
      </c>
    </row>
    <row r="25" spans="1:1" x14ac:dyDescent="0.2">
      <c r="A25" t="e">
        <f>MIN(Data!G1:G3)</f>
        <v>#N/A</v>
      </c>
    </row>
    <row r="26" spans="1:1" x14ac:dyDescent="0.2">
      <c r="A26">
        <f>LARGE(Data!A1:A10,2)</f>
        <v>6</v>
      </c>
    </row>
    <row r="27" spans="1:1" x14ac:dyDescent="0.2">
      <c r="A27" t="e">
        <f>LARGE(Data!A1:A10,0)</f>
        <v>#NUM!</v>
      </c>
    </row>
    <row r="28" spans="1:1" x14ac:dyDescent="0.2">
      <c r="A28" t="e">
        <f>LARGE(Data!A1:A10,11)</f>
        <v>#NUM!</v>
      </c>
    </row>
    <row r="29" spans="1:1" x14ac:dyDescent="0.2">
      <c r="A29">
        <f>SMALL(Data!A1:A10,3)</f>
        <v>2</v>
      </c>
    </row>
    <row r="30" spans="1:1" x14ac:dyDescent="0.2">
      <c r="A30">
        <f>SMALL(Data!D1:D6,1)</f>
        <v>-7</v>
      </c>
    </row>
    <row r="31" spans="1:1" x14ac:dyDescent="0.2">
      <c r="A31">
        <f>RANK(5,Data!A1:A10)</f>
        <v>3</v>
      </c>
    </row>
    <row r="32" spans="1:1" x14ac:dyDescent="0.2">
      <c r="A32">
        <f>RANK(5,Data!A1:A10,1)</f>
        <v>7</v>
      </c>
    </row>
    <row r="33" spans="1:1" x14ac:dyDescent="0.2">
      <c r="A33">
        <f>_xlfn.RANK.EQ(1,Data!A1:A10)</f>
        <v>9</v>
      </c>
    </row>
    <row r="34" spans="1:1" x14ac:dyDescent="0.2">
      <c r="A34">
        <f>_xlfn.RANK.AVG(1,Data!A1:A10)</f>
        <v>9.5</v>
      </c>
    </row>
    <row r="35" spans="1:1" x14ac:dyDescent="0.2">
      <c r="A35">
        <f>_xlfn.RANK.AVG(5,Data!A1:A10,1)</f>
        <v>7.5</v>
      </c>
    </row>
    <row r="36" spans="1:1" x14ac:dyDescent="0.2">
      <c r="A36" t="e">
        <f>RANK(7,Data!A1:A10)</f>
        <v>#N/A</v>
      </c>
    </row>
    <row r="37" spans="1:1" x14ac:dyDescent="0.2">
      <c r="A37">
        <f>PERCENTILE(Data!A1:A10,0.25)</f>
        <v>2.25</v>
      </c>
    </row>
    <row r="38" spans="1:1" x14ac:dyDescent="0.2">
      <c r="A38">
        <f>_xlfn.PERCENTILE.INC(Data!A1:A10,0.9)</f>
        <v>6.2999999999999989</v>
      </c>
    </row>
    <row r="39" spans="1:1" x14ac:dyDescent="0.2">
      <c r="A39">
        <f>_xlfn.PERCENTILE.EXC(Data!A1:A10,0.25)</f>
        <v>1.75</v>
      </c>
    </row>
    <row r="40" spans="1:1" x14ac:dyDescent="0.2">
      <c r="A40" t="e">
        <f>_xlfn.PERCENTILE.EXC(Data!A1:A10,0.05)</f>
        <v>#NUM!</v>
      </c>
    </row>
    <row r="41" spans="1:1" x14ac:dyDescent="0.2">
      <c r="A41" t="e">
        <f>PERCENTILE(Data!A1:A10,1.5)</f>
        <v>#NUM!</v>
      </c>
    </row>
    <row r="42" spans="1:1" x14ac:dyDescent="0.2">
      <c r="A42">
        <f>QUARTILE(Data!A1:A10,1)</f>
        <v>2.25</v>
      </c>
    </row>
    <row r="43" spans="1:1" x14ac:dyDescent="0.2">
      <c r="A43">
        <f>_xlfn.QUARTILE.INC(Data!A1:A10,3)</f>
        <v>5</v>
      </c>
    </row>
    <row r="44" spans="1:1" x14ac:dyDescent="0.2">
      <c r="A44">
        <f>_xlfn.QUARTILE.EXC(Data!A1:A10,1)</f>
        <v>1.75</v>
      </c>
    </row>
    <row r="45" spans="1:1" x14ac:dyDescent="0.2">
      <c r="A45" t="e">
        <f>QUARTILE(Data!A1:A10,5)</f>
        <v>#NUM!</v>
      </c>
    </row>
    <row r="46" spans="1:1" x14ac:dyDescent="0.2">
      <c r="A46">
        <f>PERCENTRANK(Data!A1:A10,4)</f>
        <v>0.55500000000000005</v>
      </c>
    </row>
    <row r="47" spans="1:1" x14ac:dyDescent="0.2">
      <c r="A47">
        <f>PERCENTRANK(Data!A1:A10,4.5)</f>
        <v>0.61099999999999999</v>
      </c>
    </row>
    <row r="48" spans="1:1" x14ac:dyDescent="0.2">
      <c r="A48">
        <f>_xlfn.PERCENTRANK.INC(Data!A1:A10,4,5)</f>
        <v>0.55554999999999999</v>
      </c>
    </row>
    <row r="49" spans="1:1" x14ac:dyDescent="0.2">
      <c r="A49">
        <f>_xlfn.PERCENTRANK.EXC(Data!A1:A10,4)</f>
        <v>0.54500000000000004</v>
      </c>
    </row>
    <row r="50" spans="1:1" x14ac:dyDescent="0.2">
      <c r="A50" t="e">
        <f>PERCENTRANK(Data!A1:A10,10)</f>
        <v>#N/A</v>
      </c>
    </row>
    <row r="51" spans="1:1" x14ac:dyDescent="0.2">
      <c r="A51">
        <f>STDEV(Data!A1:A10)</f>
        <v>2.4698178070456938</v>
      </c>
    </row>
    <row r="52" spans="1:1" x14ac:dyDescent="0.2">
      <c r="A52">
        <f>_xlfn.STDEV.S(Data!A1:A10)</f>
        <v>2.4698178070456938</v>
      </c>
    </row>
    <row r="53" spans="1:1" x14ac:dyDescent="0.2">
      <c r="A53">
        <f>STDEVP(Data!A1:A10)</f>
        <v>2.3430749027719964</v>
      </c>
    </row>
    <row r="54" spans="1:1" x14ac:dyDescent="0.2">
      <c r="A54">
        <f>_xlfn.STDEV.P(Data!A1:A10)</f>
        <v>2.3430749027719964</v>
      </c>
    </row>
    <row r="55" spans="1:1" x14ac:dyDescent="0.2">
      <c r="A55">
        <f>STDEVA(Data!C1:C8)</f>
        <v>12.037639382568408</v>
      </c>
    </row>
    <row r="56" spans="1:1" x14ac:dyDescent="0.2">
      <c r="A56">
        <f>STDEVPA(Data!C1:C8)</f>
        <v>11.144688494195478</v>
      </c>
    </row>
    <row r="57" spans="1:1" x14ac:dyDescent="0.2">
      <c r="A57">
        <f>STDEV(Data!C1:C8)</f>
        <v>10</v>
      </c>
    </row>
    <row r="58" spans="1:1" x14ac:dyDescent="0.2">
      <c r="A58" t="e">
        <f>STDEV(5)</f>
        <v>#DIV/0!</v>
      </c>
    </row>
    <row r="59" spans="1:1" x14ac:dyDescent="0.2">
      <c r="A59">
        <f>VAR(Data!A1:A10)</f>
        <v>6.1000000000000005</v>
      </c>
    </row>
    <row r="60" spans="1:1" x14ac:dyDescent="0.2">
      <c r="A60">
        <f>_xlfn.VAR.S(Data!A1:A10)</f>
        <v>6.1000000000000005</v>
      </c>
    </row>
    <row r="61" spans="1:1" x14ac:dyDescent="0.2">
      <c r="A61">
        <f>VARP(Data!A1:A10)</f>
        <v>5.49</v>
      </c>
    </row>
    <row r="62" spans="1:1" x14ac:dyDescent="0.2">
      <c r="A62">
        <f>_xlfn.VAR.P(Data!A1:A10)</f>
        <v>5.49</v>
      </c>
    </row>
    <row r="63" spans="1:1" x14ac:dyDescent="0.2">
      <c r="A63">
        <f>VARA(Data!C1:C8)</f>
        <v>144.9047619047619</v>
      </c>
    </row>
    <row r="64" spans="1:1" x14ac:dyDescent="0.2">
      <c r="A64">
        <f>VARPA(Data!C1:C8)</f>
        <v>124.20408163265306</v>
      </c>
    </row>
    <row r="65" spans="1:1" x14ac:dyDescent="0.2">
      <c r="A65">
        <f>AVEDEV(Data!A1:A10)</f>
        <v>1.9</v>
      </c>
    </row>
    <row r="66" spans="1:1" x14ac:dyDescent="0.2">
      <c r="A66">
        <f>DEVSQ(Data!A1:A10)</f>
        <v>54.9</v>
      </c>
    </row>
    <row r="67" spans="1:1" x14ac:dyDescent="0.2">
      <c r="A67">
        <f>GEOMEAN(Data!A1:A10)</f>
        <v>3.1533096980823121</v>
      </c>
    </row>
    <row r="68" spans="1:1" x14ac:dyDescent="0.2">
      <c r="A68" t="e">
        <f>GEOMEAN(Data!D1:D6)</f>
        <v>#NUM!</v>
      </c>
    </row>
    <row r="69" spans="1:1" x14ac:dyDescent="0.2">
      <c r="A69">
        <f>HARMEAN(Data!A1:A10)</f>
        <v>2.4423337856173681</v>
      </c>
    </row>
    <row r="70" spans="1:1" x14ac:dyDescent="0.2">
      <c r="A70">
        <f>TRIMMEAN(Data!A1:A10,0.2)</f>
        <v>3.625</v>
      </c>
    </row>
    <row r="71" spans="1:1" x14ac:dyDescent="0.2">
      <c r="A71">
        <f>TRIMMEAN(Data!A1:A10,0.25)</f>
        <v>3.625</v>
      </c>
    </row>
    <row r="72" spans="1:1" x14ac:dyDescent="0.2">
      <c r="A72">
        <f>KURT(Data!W1:W8)</f>
        <v>-0.6412725370659933</v>
      </c>
    </row>
    <row r="73" spans="1:1" x14ac:dyDescent="0.2">
      <c r="A73" t="e">
        <f>KURT(1,2,3)</f>
        <v>#DIV/0!</v>
      </c>
    </row>
    <row r="74" spans="1:1" x14ac:dyDescent="0.2">
      <c r="A74">
        <f>SKEW(Data!W1:W8)</f>
        <v>4.6306493401468189E-2</v>
      </c>
    </row>
    <row r="75" spans="1:1" x14ac:dyDescent="0.2">
      <c r="A75">
        <f>_xlfn.SKEW.P(Data!W1:W8)</f>
        <v>3.7127792805257812E-2</v>
      </c>
    </row>
    <row r="76" spans="1:1" x14ac:dyDescent="0.2">
      <c r="A76">
        <f>CORREL(Data!W1:W8,Data!X1:X8)</f>
        <v>0.79187463013675108</v>
      </c>
    </row>
    <row r="77" spans="1:1" x14ac:dyDescent="0.2">
      <c r="A77">
        <f>PEARSON(Data!W1:W8,Data!X1:X8)</f>
        <v>0.79187463013675108</v>
      </c>
    </row>
    <row r="78" spans="1:1" x14ac:dyDescent="0.2">
      <c r="A78" t="e">
        <f>CORREL(Data!A1:A3,Data!Y1:Y3)</f>
        <v>#DIV/0!</v>
      </c>
    </row>
    <row r="79" spans="1:1" x14ac:dyDescent="0.2">
      <c r="A79">
        <f>COVAR(Data!W1:W8,Data!X1:X8)</f>
        <v>3.8364062499999996</v>
      </c>
    </row>
    <row r="80" spans="1:1" x14ac:dyDescent="0.2">
      <c r="A80">
        <f>_xlfn.COVARIANCE.P(Data!W1:W8,Data!X1:X8)</f>
        <v>3.8364062499999996</v>
      </c>
    </row>
    <row r="81" spans="1:1" x14ac:dyDescent="0.2">
      <c r="A81">
        <f>_xlfn.COVARIANCE.S(Data!W1:W8,Data!X1:X8)</f>
        <v>4.3844642857142855</v>
      </c>
    </row>
    <row r="82" spans="1:1" x14ac:dyDescent="0.2">
      <c r="A82">
        <f>SLOPE(Data!X1:X8,Data!W1:W8)</f>
        <v>0.69913721916911065</v>
      </c>
    </row>
    <row r="83" spans="1:1" x14ac:dyDescent="0.2">
      <c r="A83" t="e">
        <f>SLOPE(Data!A1:A3,Data!B1:B4)</f>
        <v>#N/A</v>
      </c>
    </row>
    <row r="84" spans="1:1" x14ac:dyDescent="0.2">
      <c r="A84">
        <f>INTERCEPT(Data!X1:X8,Data!W1:W8)</f>
        <v>0.8105099803525162</v>
      </c>
    </row>
    <row r="85" spans="1:1" x14ac:dyDescent="0.2">
      <c r="A85">
        <f>RSQ(Data!X1:X8,Data!W1:W8)</f>
        <v>0.62706542985421665</v>
      </c>
    </row>
    <row r="86" spans="1:1" x14ac:dyDescent="0.2">
      <c r="A86">
        <f>STEYX(Data!X1:X8,Data!W1:W8)</f>
        <v>1.4583869412342778</v>
      </c>
    </row>
    <row r="87" spans="1:1" x14ac:dyDescent="0.2">
      <c r="A87">
        <f>FORECAST(10,Data!X1:X8,Data!W1:W8)</f>
        <v>7.8018821720436229</v>
      </c>
    </row>
    <row r="88" spans="1:1" x14ac:dyDescent="0.2">
      <c r="A88">
        <f>_xlfn.FORECAST.LINEAR(10,Data!X1:X8,Data!W1:W8)</f>
        <v>7.8018821720436229</v>
      </c>
    </row>
    <row r="89" spans="1:1" x14ac:dyDescent="0.2">
      <c r="A89" cm="1">
        <f t="array" ref="A89">TREND(Data!X1:X8,Data!W1:W8,10)</f>
        <v>7.8018821720436229</v>
      </c>
    </row>
    <row r="90" spans="1:1" x14ac:dyDescent="0.2">
      <c r="A90" cm="1">
        <f t="array" ref="A90">GROWTH(Data!X1:X8,Data!W1:W8,10)</f>
        <v>10.064543502376493</v>
      </c>
    </row>
    <row r="91" spans="1:1" x14ac:dyDescent="0.2">
      <c r="A91" cm="1">
        <f t="array" ref="A91">INDEX(LINEST(Data!X1:X8,Data!W1:W8),1)</f>
        <v>0.69913721916911065</v>
      </c>
    </row>
    <row r="92" spans="1:1" x14ac:dyDescent="0.2">
      <c r="A92" cm="1">
        <f t="array" ref="A92">INDEX(LINEST(Data!X1:X8,Data!W1:W8),2)</f>
        <v>0.8105099803525162</v>
      </c>
    </row>
    <row r="93" spans="1:1" x14ac:dyDescent="0.2">
      <c r="A93">
        <f>INDEX(LINEST(Data!X1:X8,Data!W1:W8,TRUE,TRUE),3,1)</f>
        <v>0.62706542985421621</v>
      </c>
    </row>
    <row r="94" spans="1:1" x14ac:dyDescent="0.2">
      <c r="A94" cm="1">
        <f t="array" ref="A94">INDEX(LOGEST(Data!X1:X8,Data!W1:W8),1)</f>
        <v>1.2206016084717295</v>
      </c>
    </row>
    <row r="95" spans="1:1" x14ac:dyDescent="0.2">
      <c r="A95">
        <f>STANDARDIZE(5,4,2)</f>
        <v>0.5</v>
      </c>
    </row>
    <row r="96" spans="1:1" x14ac:dyDescent="0.2">
      <c r="A96">
        <f>NORMDIST(1,0,1,TRUE)</f>
        <v>0.84134474606854304</v>
      </c>
    </row>
    <row r="97" spans="1:1" x14ac:dyDescent="0.2">
      <c r="A97">
        <f>_xlfn.NORM.DIST(1.5,1,2,FALSE)</f>
        <v>0.19333405840142462</v>
      </c>
    </row>
    <row r="98" spans="1:1" x14ac:dyDescent="0.2">
      <c r="A98">
        <f>NORMINV(0.95,0,1)</f>
        <v>1.6448536269514715</v>
      </c>
    </row>
    <row r="99" spans="1:1" x14ac:dyDescent="0.2">
      <c r="A99">
        <f>_xlfn.NORM.INV(0.25,10,2)</f>
        <v>8.6510204996078368</v>
      </c>
    </row>
    <row r="100" spans="1:1" x14ac:dyDescent="0.2">
      <c r="A100" t="e">
        <f>_xlfn.NORM.INV(0,0,1)</f>
        <v>#NUM!</v>
      </c>
    </row>
    <row r="101" spans="1:1" x14ac:dyDescent="0.2">
      <c r="A101">
        <f>NORMSDIST(1.96)</f>
        <v>0.97500210485177952</v>
      </c>
    </row>
    <row r="102" spans="1:1" x14ac:dyDescent="0.2">
      <c r="A102">
        <f>_xlfn.NORM.S.DIST(-1,TRUE)</f>
        <v>0.15865525393145699</v>
      </c>
    </row>
    <row r="103" spans="1:1" x14ac:dyDescent="0.2">
      <c r="A103">
        <f>_xlfn.NORM.S.DIST(0,FALSE)</f>
        <v>0.3989422804014327</v>
      </c>
    </row>
    <row r="104" spans="1:1" x14ac:dyDescent="0.2">
      <c r="A104">
        <f>NORMSINV(0.975)</f>
        <v>1.9599639845400536</v>
      </c>
    </row>
    <row r="105" spans="1:1" x14ac:dyDescent="0.2">
      <c r="A105">
        <f>_xlfn.NORM.S.INV(0.5)</f>
        <v>0</v>
      </c>
    </row>
    <row r="106" spans="1:1" x14ac:dyDescent="0.2">
      <c r="A106">
        <f>_xlfn.NORM.S.INV(0.0000000001)</f>
        <v>-6.3613409024040557</v>
      </c>
    </row>
    <row r="107" spans="1:1" x14ac:dyDescent="0.2">
      <c r="A107">
        <f>BINOMDIST(3,10,0.5,FALSE)</f>
        <v>0.11718750000000003</v>
      </c>
    </row>
    <row r="108" spans="1:1" x14ac:dyDescent="0.2">
      <c r="A108">
        <f>_xlfn.BINOM.DIST(3,10,0.5,TRUE)</f>
        <v>0.17187500000000006</v>
      </c>
    </row>
    <row r="109" spans="1:1" x14ac:dyDescent="0.2">
      <c r="A109">
        <f>_xlfn.BINOM.INV(10,0.5,0.75)</f>
        <v>6</v>
      </c>
    </row>
    <row r="110" spans="1:1" x14ac:dyDescent="0.2">
      <c r="A110">
        <f>CRITBINOM(10,0.5,0.75)</f>
        <v>6</v>
      </c>
    </row>
    <row r="111" spans="1:1" x14ac:dyDescent="0.2">
      <c r="A111">
        <f>_xlfn.NEGBINOM.DIST(3,5,0.5,FALSE)</f>
        <v>0.13671874999999997</v>
      </c>
    </row>
    <row r="112" spans="1:1" x14ac:dyDescent="0.2">
      <c r="A112">
        <f>_xlfn.HYPGEOM.DIST(1,4,8,20,FALSE)</f>
        <v>0.36326109391124861</v>
      </c>
    </row>
    <row r="113" spans="1:1" x14ac:dyDescent="0.2">
      <c r="A113">
        <f>POISSON(2,3,FALSE)</f>
        <v>0.22404180765538775</v>
      </c>
    </row>
    <row r="114" spans="1:1" x14ac:dyDescent="0.2">
      <c r="A114">
        <f>_xlfn.POISSON.DIST(2,3,TRUE)</f>
        <v>0.42319008112684342</v>
      </c>
    </row>
    <row r="115" spans="1:1" x14ac:dyDescent="0.2">
      <c r="A115">
        <f>EXPONDIST(1,2,TRUE)</f>
        <v>0.8646647167633873</v>
      </c>
    </row>
    <row r="116" spans="1:1" x14ac:dyDescent="0.2">
      <c r="A116">
        <f>_xlfn.EXPON.DIST(1,2,FALSE)</f>
        <v>0.2706705664732254</v>
      </c>
    </row>
    <row r="117" spans="1:1" x14ac:dyDescent="0.2">
      <c r="A117">
        <f>TDIST(2,10,2)</f>
        <v>7.3388034770740407E-2</v>
      </c>
    </row>
    <row r="118" spans="1:1" x14ac:dyDescent="0.2">
      <c r="A118">
        <f>_xlfn.T.DIST(1.5,10,TRUE)</f>
        <v>0.9177463367772799</v>
      </c>
    </row>
    <row r="119" spans="1:1" x14ac:dyDescent="0.2">
      <c r="A119">
        <f>_xlfn.T.DIST.2T(2,10)</f>
        <v>7.3388034770740407E-2</v>
      </c>
    </row>
    <row r="120" spans="1:1" x14ac:dyDescent="0.2">
      <c r="A120">
        <f>_xlfn.T.DIST.RT(2,10)</f>
        <v>3.6694017385370203E-2</v>
      </c>
    </row>
    <row r="121" spans="1:1" x14ac:dyDescent="0.2">
      <c r="A121">
        <f>TINV(0.05,10)</f>
        <v>2.2281388519862744</v>
      </c>
    </row>
    <row r="122" spans="1:1" x14ac:dyDescent="0.2">
      <c r="A122">
        <f>_xlfn.T.INV(0.975,10)</f>
        <v>2.2281388519862744</v>
      </c>
    </row>
    <row r="123" spans="1:1" x14ac:dyDescent="0.2">
      <c r="A123">
        <f>_xlfn.T.INV.2T(0.05,10)</f>
        <v>2.2281388519862744</v>
      </c>
    </row>
    <row r="124" spans="1:1" x14ac:dyDescent="0.2">
      <c r="A124">
        <f>CHIDIST(3.84,1)</f>
        <v>5.0043521248705113E-2</v>
      </c>
    </row>
    <row r="125" spans="1:1" x14ac:dyDescent="0.2">
      <c r="A125">
        <f>_xlfn.CHISQ.DIST.RT(3.84,1)</f>
        <v>5.0043521248705113E-2</v>
      </c>
    </row>
    <row r="126" spans="1:1" x14ac:dyDescent="0.2">
      <c r="A126">
        <f>_xlfn.CHISQ.DIST(3.84,1,TRUE)</f>
        <v>0.94995647875129485</v>
      </c>
    </row>
    <row r="127" spans="1:1" x14ac:dyDescent="0.2">
      <c r="A127">
        <f>CHIINV(0.05,1)</f>
        <v>3.8414588206941236</v>
      </c>
    </row>
    <row r="128" spans="1:1" x14ac:dyDescent="0.2">
      <c r="A128">
        <f>_xlfn.CHISQ.INV.RT(0.05,1)</f>
        <v>3.8414588206941236</v>
      </c>
    </row>
    <row r="129" spans="1:1" x14ac:dyDescent="0.2">
      <c r="A129">
        <f>_xlfn.CHISQ.INV(0.95,1)</f>
        <v>3.8414588206941236</v>
      </c>
    </row>
    <row r="130" spans="1:1" x14ac:dyDescent="0.2">
      <c r="A130">
        <f>FDIST(3,5,10)</f>
        <v>6.5557562093844127E-2</v>
      </c>
    </row>
    <row r="131" spans="1:1" x14ac:dyDescent="0.2">
      <c r="A131">
        <f>_xlfn.F.DIST.RT(3,5,10)</f>
        <v>6.5557562093844127E-2</v>
      </c>
    </row>
    <row r="132" spans="1:1" x14ac:dyDescent="0.2">
      <c r="A132">
        <f>_xlfn.F.DIST(3,5,10,TRUE)</f>
        <v>0.93444243790615589</v>
      </c>
    </row>
    <row r="133" spans="1:1" x14ac:dyDescent="0.2">
      <c r="A133">
        <f>FINV(0.05,5,10)</f>
        <v>3.325834530413013</v>
      </c>
    </row>
    <row r="134" spans="1:1" x14ac:dyDescent="0.2">
      <c r="A134">
        <f>_xlfn.F.INV.RT(0.05,5,10)</f>
        <v>3.325834530413013</v>
      </c>
    </row>
    <row r="135" spans="1:1" x14ac:dyDescent="0.2">
      <c r="A135">
        <f>_xlfn.GAMMA(5)</f>
        <v>24</v>
      </c>
    </row>
    <row r="136" spans="1:1" x14ac:dyDescent="0.2">
      <c r="A136">
        <f>_xlfn.GAMMA(0.5)</f>
        <v>1.7724538509055161</v>
      </c>
    </row>
    <row r="137" spans="1:1" x14ac:dyDescent="0.2">
      <c r="A137" t="e">
        <f>_xlfn.GAMMA(-1)</f>
        <v>#NUM!</v>
      </c>
    </row>
    <row r="138" spans="1:1" x14ac:dyDescent="0.2">
      <c r="A138">
        <f>GAMMALN(10)</f>
        <v>12.801827480081471</v>
      </c>
    </row>
    <row r="139" spans="1:1" x14ac:dyDescent="0.2">
      <c r="A139">
        <f>_xlfn.GAMMALN.PRECISE(0.5)</f>
        <v>0.57236494292470008</v>
      </c>
    </row>
    <row r="140" spans="1:1" x14ac:dyDescent="0.2">
      <c r="A140">
        <f>_xlfn.GAMMA.DIST(2,3,2,TRUE)</f>
        <v>8.0301397071394193E-2</v>
      </c>
    </row>
    <row r="141" spans="1:1" x14ac:dyDescent="0.2">
      <c r="A141">
        <f>GAMMADIST(2,3,2,FALSE)</f>
        <v>9.1969860292860584E-2</v>
      </c>
    </row>
    <row r="142" spans="1:1" x14ac:dyDescent="0.2">
      <c r="A142">
        <f>_xlfn.GAMMA.INV(0.5,3,2)</f>
        <v>5.3481206274471216</v>
      </c>
    </row>
    <row r="143" spans="1:1" x14ac:dyDescent="0.2">
      <c r="A143">
        <f>_xlfn.BETA.DIST(0.4,2,3,TRUE)</f>
        <v>0.52480000000000004</v>
      </c>
    </row>
    <row r="144" spans="1:1" x14ac:dyDescent="0.2">
      <c r="A144">
        <f>BETADIST(0.4,2,3)</f>
        <v>0.52480000000000004</v>
      </c>
    </row>
    <row r="145" spans="1:1" x14ac:dyDescent="0.2">
      <c r="A145">
        <f>_xlfn.BETA.INV(0.5,2,3)</f>
        <v>0.38572756813238951</v>
      </c>
    </row>
    <row r="146" spans="1:1" x14ac:dyDescent="0.2">
      <c r="A146">
        <f>_xlfn.LOGNORM.DIST(4,1,0.5,TRUE)</f>
        <v>0.78011708951222414</v>
      </c>
    </row>
    <row r="147" spans="1:1" x14ac:dyDescent="0.2">
      <c r="A147">
        <f>LOGNORMDIST(4,1,0.5)</f>
        <v>0.78011708951222414</v>
      </c>
    </row>
    <row r="148" spans="1:1" x14ac:dyDescent="0.2">
      <c r="A148">
        <f>_xlfn.LOGNORM.INV(0.5,1,0.5)</f>
        <v>2.7182818284590451</v>
      </c>
    </row>
    <row r="149" spans="1:1" x14ac:dyDescent="0.2">
      <c r="A149">
        <f>_xlfn.WEIBULL.DIST(2,1.5,3,TRUE)</f>
        <v>0.41977020402532705</v>
      </c>
    </row>
    <row r="150" spans="1:1" x14ac:dyDescent="0.2">
      <c r="A150">
        <f>WEIBULL(2,1.5,3,FALSE)</f>
        <v>0.23687782228285617</v>
      </c>
    </row>
    <row r="151" spans="1:1" x14ac:dyDescent="0.2">
      <c r="A151">
        <f>CONFIDENCE(0.05,2,50)</f>
        <v>0.55436152973987096</v>
      </c>
    </row>
    <row r="152" spans="1:1" x14ac:dyDescent="0.2">
      <c r="A152">
        <f>_xlfn.CONFIDENCE.NORM(0.05,2,50)</f>
        <v>0.55436152973987096</v>
      </c>
    </row>
    <row r="153" spans="1:1" x14ac:dyDescent="0.2">
      <c r="A153">
        <f>_xlfn.CONFIDENCE.T(0.05,2,50)</f>
        <v>0.56839371099145963</v>
      </c>
    </row>
    <row r="154" spans="1:1" x14ac:dyDescent="0.2">
      <c r="A154">
        <f>FISHER(0.5)</f>
        <v>0.54930614433405489</v>
      </c>
    </row>
    <row r="155" spans="1:1" x14ac:dyDescent="0.2">
      <c r="A155">
        <f>FISHERINV(0.5)</f>
        <v>0.46211715726000974</v>
      </c>
    </row>
    <row r="156" spans="1:1" x14ac:dyDescent="0.2">
      <c r="A156">
        <f>_xlfn.PHI(0.5)</f>
        <v>0.35206532676429952</v>
      </c>
    </row>
    <row r="157" spans="1:1" x14ac:dyDescent="0.2">
      <c r="A157">
        <f>_xlfn.GAUSS(1)</f>
        <v>0.34134474606854304</v>
      </c>
    </row>
    <row r="158" spans="1:1" x14ac:dyDescent="0.2">
      <c r="A158">
        <f>PROB({1,2,3,4},{0.1,0.2,0.3,0.4},2,3)</f>
        <v>0.5</v>
      </c>
    </row>
    <row r="159" spans="1:1" x14ac:dyDescent="0.2">
      <c r="A159" cm="1">
        <f t="array" ref="A159">INDEX(FREQUENCY(Data!A1:A10,{2,4,6}),1)</f>
        <v>3</v>
      </c>
    </row>
    <row r="160" spans="1:1" x14ac:dyDescent="0.2">
      <c r="A160" cm="1">
        <f t="array" ref="A160">INDEX(FREQUENCY(Data!A1:A10,{2,4,6}),4)</f>
        <v>1</v>
      </c>
    </row>
    <row r="161" spans="1:1" x14ac:dyDescent="0.2">
      <c r="A161">
        <f>_xlfn.Z.TEST(Data!A1:A10,4)</f>
        <v>0.55094010637312951</v>
      </c>
    </row>
    <row r="162" spans="1:1" x14ac:dyDescent="0.2">
      <c r="A162">
        <f>_xlfn.T.TEST(Data!W1:W8,Data!X1:X8,2,1)</f>
        <v>0.25675383618160735</v>
      </c>
    </row>
    <row r="163" spans="1:1" x14ac:dyDescent="0.2">
      <c r="A163">
        <f>TTEST(Data!W1:W8,Data!X1:X8,2,2)</f>
        <v>0.57671508241913649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24FC-AC69-4D49-9238-82E21E2C5F62}">
  <dimension ref="A1:Y10"/>
  <sheetViews>
    <sheetView tabSelected="1" workbookViewId="0"/>
  </sheetViews>
  <sheetFormatPr baseColWidth="10" defaultRowHeight="16" x14ac:dyDescent="0.2"/>
  <sheetData>
    <row r="1" spans="1:25" x14ac:dyDescent="0.2">
      <c r="A1">
        <v>3</v>
      </c>
      <c r="B1">
        <v>2</v>
      </c>
      <c r="C1">
        <v>10</v>
      </c>
      <c r="D1">
        <v>-2.5</v>
      </c>
      <c r="E1" s="1" t="s">
        <v>3</v>
      </c>
      <c r="G1" t="e">
        <v>#N/A</v>
      </c>
      <c r="W1">
        <v>2.5</v>
      </c>
      <c r="X1">
        <v>1.1000000000000001</v>
      </c>
      <c r="Y1">
        <v>0</v>
      </c>
    </row>
    <row r="2" spans="1:25" x14ac:dyDescent="0.2">
      <c r="A2">
        <v>1</v>
      </c>
      <c r="B2">
        <v>7</v>
      </c>
      <c r="C2" s="1" t="s">
        <v>0</v>
      </c>
      <c r="D2">
        <v>0</v>
      </c>
      <c r="E2" s="1" t="s">
        <v>4</v>
      </c>
      <c r="G2" t="e">
        <v>#DIV/0!</v>
      </c>
      <c r="H2" t="str">
        <f>""</f>
        <v/>
      </c>
      <c r="W2">
        <v>3.7</v>
      </c>
      <c r="X2">
        <v>2.9</v>
      </c>
      <c r="Y2">
        <v>0</v>
      </c>
    </row>
    <row r="3" spans="1:25" x14ac:dyDescent="0.2">
      <c r="A3">
        <v>4</v>
      </c>
      <c r="B3">
        <v>1</v>
      </c>
      <c r="C3" t="b">
        <v>1</v>
      </c>
      <c r="D3">
        <v>1.25</v>
      </c>
      <c r="E3" s="1" t="s">
        <v>5</v>
      </c>
      <c r="G3">
        <v>7</v>
      </c>
      <c r="H3" s="1" t="s">
        <v>2</v>
      </c>
      <c r="W3">
        <v>1.2</v>
      </c>
      <c r="X3">
        <v>2.2000000000000002</v>
      </c>
      <c r="Y3">
        <v>0</v>
      </c>
    </row>
    <row r="4" spans="1:25" x14ac:dyDescent="0.2">
      <c r="A4">
        <v>1</v>
      </c>
      <c r="B4">
        <v>8</v>
      </c>
      <c r="D4">
        <v>-7</v>
      </c>
      <c r="E4" s="1" t="s">
        <v>6</v>
      </c>
      <c r="H4">
        <v>0</v>
      </c>
      <c r="W4">
        <v>8.8000000000000007</v>
      </c>
      <c r="X4">
        <v>4.8</v>
      </c>
    </row>
    <row r="5" spans="1:25" x14ac:dyDescent="0.2">
      <c r="A5">
        <v>5</v>
      </c>
      <c r="B5">
        <v>2</v>
      </c>
      <c r="C5">
        <v>20</v>
      </c>
      <c r="D5">
        <v>100</v>
      </c>
      <c r="E5" s="1" t="s">
        <v>7</v>
      </c>
      <c r="W5">
        <v>4.4000000000000004</v>
      </c>
      <c r="X5">
        <v>3.9</v>
      </c>
    </row>
    <row r="6" spans="1:25" x14ac:dyDescent="0.2">
      <c r="A6">
        <v>9</v>
      </c>
      <c r="B6">
        <v>8</v>
      </c>
      <c r="C6" s="1" t="s">
        <v>1</v>
      </c>
      <c r="D6">
        <v>1E-3</v>
      </c>
      <c r="E6" s="1" t="s">
        <v>8</v>
      </c>
      <c r="W6">
        <v>6.1</v>
      </c>
      <c r="X6">
        <v>6.2</v>
      </c>
    </row>
    <row r="7" spans="1:25" x14ac:dyDescent="0.2">
      <c r="A7">
        <v>2</v>
      </c>
      <c r="B7">
        <v>1</v>
      </c>
      <c r="C7" t="b">
        <v>0</v>
      </c>
      <c r="W7">
        <v>5.5</v>
      </c>
      <c r="X7">
        <v>5.0999999999999996</v>
      </c>
    </row>
    <row r="8" spans="1:25" x14ac:dyDescent="0.2">
      <c r="A8">
        <v>6</v>
      </c>
      <c r="B8">
        <v>8</v>
      </c>
      <c r="C8">
        <v>30</v>
      </c>
      <c r="W8">
        <v>7.3</v>
      </c>
      <c r="X8">
        <v>7.9</v>
      </c>
    </row>
    <row r="9" spans="1:25" x14ac:dyDescent="0.2">
      <c r="A9">
        <v>5</v>
      </c>
      <c r="B9">
        <v>2</v>
      </c>
    </row>
    <row r="10" spans="1:25" x14ac:dyDescent="0.2">
      <c r="A10">
        <v>3</v>
      </c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2026-10-30T04:43:58Z</dcterms:created>
  <dcterms:modified xsi:type="dcterms:W3CDTF">2026-10-30T04:44:03Z</dcterms:modified>
</cp:coreProperties>
</file>