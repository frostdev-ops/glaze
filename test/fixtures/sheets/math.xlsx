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filterPrivacy="1" defaultThemeVersion="202300"/>
  <xr:revisionPtr revIDLastSave="0" documentId="8_{C4951BD7-7C3A-1649-A79D-310C3643C79D}" xr6:coauthVersionLast="47" xr6:coauthVersionMax="47" xr10:uidLastSave="{00000000-0000-0000-0000-000000000000}"/>
  <bookViews>
    <workbookView xWindow="3980" yWindow="2780" windowWidth="28040" windowHeight="17180" activeTab="1" xr2:uid="{4D2C6342-907F-9A46-8F65-9D034A5B7300}"/>
  </bookViews>
  <sheets>
    <sheet name="Case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84" i="1" l="1"/>
  <c r="A183" i="1"/>
  <c r="A182" i="1"/>
  <c r="A181" i="1"/>
  <c r="A180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 a="1"/>
  <c r="A13" i="1"/>
  <c r="A12" i="1"/>
  <c r="A11" i="1" a="1"/>
  <c r="A10" i="1"/>
  <c r="A9" i="1"/>
  <c r="A8" i="1"/>
  <c r="A7" i="1"/>
  <c r="A6" i="1"/>
  <c r="A5" i="1"/>
  <c r="A4" i="1"/>
  <c r="A3" i="1"/>
  <c r="A2" i="1"/>
  <c r="A1" i="1"/>
  <c r="H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<sst xmlns="http://schemas.openxmlformats.org/spreadsheetml/2006/main" count="9" uniqueCount="9">
  <si>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text</t>
  </si>
  <si>
    <t>5</t>
  </si>
  <si>
    <t>apple</t>
  </si>
  <si>
    <t>Banana</t>
  </si>
  <si>
    <t>cherry</t>
  </si>
  <si>
    <t>apple pie</t>
  </si>
  <si>
    <t>date</t>
  </si>
  <si>
    <t>Apple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</si>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</sst>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91459-BD10-3A42-A056-F33732C221E5}">
  <dimension ref="A1:A184"/>
  <sheetViews>
    <sheetView workbookViewId="0"/>
  </sheetViews>
  <sheetFormatPr baseColWidth="10" defaultRowHeight="16" x14ac:dyDescent="0.2"/>
  <cols>
    <col min="1" max="1" width="80.83203125" customWidth="1"/>
  </cols>
  <sheetData>
    <row r="1" spans="1:1" x14ac:dyDescent="0.2">
      <c r="A1">
        <f>SUM(Data!A1:A10)</f>
        <v>39</v>
      </c>
    </row>
    <row r="2" spans="1:1" x14ac:dyDescent="0.2">
      <c r="A2">
        <f>SUM(Data!A1:A10,Data!B1:B10)</f>
        <v>86</v>
      </c>
    </row>
    <row r="3" spans="1:1" x14ac:dyDescent="0.2">
      <c r="A3">
        <f>SUM(Data!C1:C8)</f>
        <v>60</v>
      </c>
    </row>
    <row r="4" spans="1:1" x14ac:dyDescent="0.2">
      <c r="A4">
        <f>SUM(1,"2",TRUE)</f>
        <v>4</v>
      </c>
    </row>
    <row r="5" spans="1:1" x14ac:dyDescent="0.2">
      <c r="A5" t="e">
        <f>SUM("x")</f>
        <v>#VALUE!</v>
      </c>
    </row>
    <row r="6" spans="1:1" x14ac:dyDescent="0.2">
      <c r="A6" t="e">
        <f>SUM(Data!G1:G3)</f>
        <v>#N/A</v>
      </c>
    </row>
    <row r="7" spans="1:1" x14ac:dyDescent="0.2">
      <c r="A7">
        <f>SUM(Data!D1:D6)</f>
        <v>91.751000000000005</v>
      </c>
    </row>
    <row r="8" spans="1:1" x14ac:dyDescent="0.2">
      <c r="A8">
        <f>SUMSQ(Data!A1:A5)</f>
        <v>52</v>
      </c>
    </row>
    <row r="9" spans="1:1" x14ac:dyDescent="0.2">
      <c r="A9">
        <f>SUMSQ(Data!C1:C8)</f>
        <v>1400</v>
      </c>
    </row>
    <row r="10" spans="1:1" x14ac:dyDescent="0.2">
      <c r="A10">
        <f>SUMPRODUCT(Data!A1:A10,Data!B1:B10)</f>
        <v>191</v>
      </c>
    </row>
    <row r="11" spans="1:1" x14ac:dyDescent="0.2">
      <c r="A11" cm="1">
        <f t="array" ref="A11">SUMPRODUCT((Data!A1:A10&gt;3)*Data!B1:B10)</f>
        <v>21</v>
      </c>
    </row>
    <row r="12" spans="1:1" x14ac:dyDescent="0.2">
      <c r="A12" t="e">
        <f>SUMPRODUCT(Data!A1:A3,Data!B1:B4)</f>
        <v>#VALUE!</v>
      </c>
    </row>
    <row r="13" spans="1:1" x14ac:dyDescent="0.2">
      <c r="A13">
        <f>SUMPRODUCT(Data!C1:C8)</f>
        <v>60</v>
      </c>
    </row>
    <row r="14" spans="1:1" x14ac:dyDescent="0.2">
      <c r="A14" cm="1">
        <f t="array" ref="A14">SUMPRODUCT(--(Data!E1:E6="apple"))</f>
        <v>2</v>
      </c>
    </row>
    <row r="15" spans="1:1" x14ac:dyDescent="0.2">
      <c r="A15">
        <f>PRODUCT(Data!A1:A5)</f>
        <v>60</v>
      </c>
    </row>
    <row r="16" spans="1:1" x14ac:dyDescent="0.2">
      <c r="A16">
        <f>PRODUCT(Data!C1:C8)</f>
        <v>6000</v>
      </c>
    </row>
    <row r="17" spans="1:1" x14ac:dyDescent="0.2">
      <c r="A17">
        <f>PRODUCT(2,"3")</f>
        <v>6</v>
      </c>
    </row>
    <row r="18" spans="1:1" x14ac:dyDescent="0.2">
      <c r="A18">
        <f>PRODUCT(Data!H1)</f>
        <v>0</v>
      </c>
    </row>
    <row r="19" spans="1:1" x14ac:dyDescent="0.2">
      <c r="A19">
        <f>ABS(-3.5)</f>
        <v>3.5</v>
      </c>
    </row>
    <row r="20" spans="1:1" x14ac:dyDescent="0.2">
      <c r="A20">
        <f>ABS(Data!D1)</f>
        <v>2.5</v>
      </c>
    </row>
    <row r="21" spans="1:1" x14ac:dyDescent="0.2">
      <c r="A21">
        <f>SIGN(-0.001)</f>
        <v>-1</v>
      </c>
    </row>
    <row r="22" spans="1:1" x14ac:dyDescent="0.2">
      <c r="A22">
        <f>SIGN(0)</f>
        <v>0</v>
      </c>
    </row>
    <row r="23" spans="1:1" x14ac:dyDescent="0.2">
      <c r="A23">
        <f>ROUND(2.5,0)</f>
        <v>3</v>
      </c>
    </row>
    <row r="24" spans="1:1" x14ac:dyDescent="0.2">
      <c r="A24">
        <f>ROUND(-2.5,0)</f>
        <v>-3</v>
      </c>
    </row>
    <row r="25" spans="1:1" x14ac:dyDescent="0.2">
      <c r="A25">
        <f>ROUND(1.005,2)</f>
        <v>1.01</v>
      </c>
    </row>
    <row r="26" spans="1:1" x14ac:dyDescent="0.2">
      <c r="A26">
        <f>ROUND(2.675,2)</f>
        <v>2.68</v>
      </c>
    </row>
    <row r="27" spans="1:1" x14ac:dyDescent="0.2">
      <c r="A27">
        <f>ROUND(0.285,2)</f>
        <v>0.28999999999999998</v>
      </c>
    </row>
    <row r="28" spans="1:1" x14ac:dyDescent="0.2">
      <c r="A28">
        <f>ROUND(5.55,1)</f>
        <v>5.6</v>
      </c>
    </row>
    <row r="29" spans="1:1" x14ac:dyDescent="0.2">
      <c r="A29">
        <f>ROUND(1234.5678,-2)</f>
        <v>1200</v>
      </c>
    </row>
    <row r="30" spans="1:1" x14ac:dyDescent="0.2">
      <c r="A30">
        <f>ROUND(-0.5,0)</f>
        <v>-1</v>
      </c>
    </row>
    <row r="31" spans="1:1" x14ac:dyDescent="0.2">
      <c r="A31">
        <f>ROUND(0.1+0.2,15)</f>
        <v>0.3</v>
      </c>
    </row>
    <row r="32" spans="1:1" x14ac:dyDescent="0.2">
      <c r="A32">
        <f>ROUND(1E+300,-299)</f>
        <v>1.0000000000000001E+300</v>
      </c>
    </row>
    <row r="33" spans="1:1" x14ac:dyDescent="0.2">
      <c r="A33">
        <f>ROUND(123.456,1.9)</f>
        <v>123.5</v>
      </c>
    </row>
    <row r="34" spans="1:1" x14ac:dyDescent="0.2">
      <c r="A34">
        <f>ROUNDUP(3.14159,2)</f>
        <v>3.15</v>
      </c>
    </row>
    <row r="35" spans="1:1" x14ac:dyDescent="0.2">
      <c r="A35">
        <f>ROUNDUP(-3.14159,2)</f>
        <v>-3.15</v>
      </c>
    </row>
    <row r="36" spans="1:1" x14ac:dyDescent="0.2">
      <c r="A36">
        <f>ROUNDUP(31415.9,-2)</f>
        <v>31500</v>
      </c>
    </row>
    <row r="37" spans="1:1" x14ac:dyDescent="0.2">
      <c r="A37">
        <f>ROUNDUP(0.1*3,1)</f>
        <v>0.3</v>
      </c>
    </row>
    <row r="38" spans="1:1" x14ac:dyDescent="0.2">
      <c r="A38">
        <f>ROUNDDOWN(3.99,0)</f>
        <v>3</v>
      </c>
    </row>
    <row r="39" spans="1:1" x14ac:dyDescent="0.2">
      <c r="A39">
        <f>ROUNDDOWN(-3.99,0)</f>
        <v>-3</v>
      </c>
    </row>
    <row r="40" spans="1:1" x14ac:dyDescent="0.2">
      <c r="A40">
        <f>ROUNDDOWN(0.3*3,1)</f>
        <v>0.9</v>
      </c>
    </row>
    <row r="41" spans="1:1" x14ac:dyDescent="0.2">
      <c r="A41">
        <f>MROUND(10,3)</f>
        <v>9</v>
      </c>
    </row>
    <row r="42" spans="1:1" x14ac:dyDescent="0.2">
      <c r="A42">
        <f>MROUND(-10,-3)</f>
        <v>-9</v>
      </c>
    </row>
    <row r="43" spans="1:1" x14ac:dyDescent="0.2">
      <c r="A43" t="e">
        <f>MROUND(10,-3)</f>
        <v>#NUM!</v>
      </c>
    </row>
    <row r="44" spans="1:1" x14ac:dyDescent="0.2">
      <c r="A44">
        <f>MROUND(1.3,0.2)</f>
        <v>1.4000000000000001</v>
      </c>
    </row>
    <row r="45" spans="1:1" x14ac:dyDescent="0.2">
      <c r="A45">
        <f>MROUND(5,0)</f>
        <v>0</v>
      </c>
    </row>
    <row r="46" spans="1:1" x14ac:dyDescent="0.2">
      <c r="A46">
        <f>CEILING(2.5,1)</f>
        <v>3</v>
      </c>
    </row>
    <row r="47" spans="1:1" x14ac:dyDescent="0.2">
      <c r="A47">
        <f>CEILING(-2.5,-2)</f>
        <v>-4</v>
      </c>
    </row>
    <row r="48" spans="1:1" x14ac:dyDescent="0.2">
      <c r="A48">
        <f>CEILING(-2.5,2)</f>
        <v>-2</v>
      </c>
    </row>
    <row r="49" spans="1:1" x14ac:dyDescent="0.2">
      <c r="A49" t="e">
        <f>CEILING(2.5,-2)</f>
        <v>#NUM!</v>
      </c>
    </row>
    <row r="50" spans="1:1" x14ac:dyDescent="0.2">
      <c r="A50">
        <f>CEILING(0.234,0.01)</f>
        <v>0.24</v>
      </c>
    </row>
    <row r="51" spans="1:1" x14ac:dyDescent="0.2">
      <c r="A51">
        <f>_xlfn.CEILING.MATH(-5.5,2)</f>
        <v>-4</v>
      </c>
    </row>
    <row r="52" spans="1:1" x14ac:dyDescent="0.2">
      <c r="A52">
        <f>_xlfn.CEILING.MATH(-5.5,2,-1)</f>
        <v>-6</v>
      </c>
    </row>
    <row r="53" spans="1:1" x14ac:dyDescent="0.2">
      <c r="A53">
        <f>_xlfn.CEILING.PRECISE(-4.1,2)</f>
        <v>-4</v>
      </c>
    </row>
    <row r="54" spans="1:1" x14ac:dyDescent="0.2">
      <c r="A54">
        <f>ISO.CEILING(4.3,-2)</f>
        <v>6</v>
      </c>
    </row>
    <row r="55" spans="1:1" x14ac:dyDescent="0.2">
      <c r="A55">
        <f>FLOOR(2.5,1)</f>
        <v>2</v>
      </c>
    </row>
    <row r="56" spans="1:1" x14ac:dyDescent="0.2">
      <c r="A56">
        <f>FLOOR(-2.5,-2)</f>
        <v>-2</v>
      </c>
    </row>
    <row r="57" spans="1:1" x14ac:dyDescent="0.2">
      <c r="A57">
        <f>FLOOR(-2.5,2)</f>
        <v>-4</v>
      </c>
    </row>
    <row r="58" spans="1:1" x14ac:dyDescent="0.2">
      <c r="A58" t="e">
        <f>FLOOR(3.7,0)</f>
        <v>#DIV/0!</v>
      </c>
    </row>
    <row r="59" spans="1:1" x14ac:dyDescent="0.2">
      <c r="A59">
        <f>_xlfn.FLOOR.MATH(-5.5,2)</f>
        <v>-6</v>
      </c>
    </row>
    <row r="60" spans="1:1" x14ac:dyDescent="0.2">
      <c r="A60">
        <f>_xlfn.FLOOR.MATH(-5.5,2,-1)</f>
        <v>-4</v>
      </c>
    </row>
    <row r="61" spans="1:1" x14ac:dyDescent="0.2">
      <c r="A61">
        <f>_xlfn.FLOOR.PRECISE(-3.2,-1)</f>
        <v>-4</v>
      </c>
    </row>
    <row r="62" spans="1:1" x14ac:dyDescent="0.2">
      <c r="A62">
        <f>INT(-3.5)</f>
        <v>-4</v>
      </c>
    </row>
    <row r="63" spans="1:1" x14ac:dyDescent="0.2">
      <c r="A63">
        <f>INT(3.99999999999999)</f>
        <v>3</v>
      </c>
    </row>
    <row r="64" spans="1:1" x14ac:dyDescent="0.2">
      <c r="A64">
        <f>TRUNC(-3.5)</f>
        <v>-3</v>
      </c>
    </row>
    <row r="65" spans="1:1" x14ac:dyDescent="0.2">
      <c r="A65">
        <f>TRUNC(3.14159,3)</f>
        <v>3.141</v>
      </c>
    </row>
    <row r="66" spans="1:1" x14ac:dyDescent="0.2">
      <c r="A66">
        <f>TRUNC(1234.5,-2)</f>
        <v>1200</v>
      </c>
    </row>
    <row r="67" spans="1:1" x14ac:dyDescent="0.2">
      <c r="A67">
        <f>MOD(10,3)</f>
        <v>1</v>
      </c>
    </row>
    <row r="68" spans="1:1" x14ac:dyDescent="0.2">
      <c r="A68">
        <f>MOD(-3,2)</f>
        <v>1</v>
      </c>
    </row>
    <row r="69" spans="1:1" x14ac:dyDescent="0.2">
      <c r="A69">
        <f>MOD(3,-2)</f>
        <v>-1</v>
      </c>
    </row>
    <row r="70" spans="1:1" x14ac:dyDescent="0.2">
      <c r="A70">
        <f>MOD(5.5,2)</f>
        <v>1.5</v>
      </c>
    </row>
    <row r="71" spans="1:1" x14ac:dyDescent="0.2">
      <c r="A71" t="e">
        <f>MOD(1,0)</f>
        <v>#DIV/0!</v>
      </c>
    </row>
    <row r="72" spans="1:1" x14ac:dyDescent="0.2">
      <c r="A72">
        <f>MOD(0.3,0.1)</f>
        <v>9.9999999999999978E-2</v>
      </c>
    </row>
    <row r="73" spans="1:1" x14ac:dyDescent="0.2">
      <c r="A73">
        <f>MOD(-7.5,-2)</f>
        <v>-1.5</v>
      </c>
    </row>
    <row r="74" spans="1:1" x14ac:dyDescent="0.2">
      <c r="A74" t="e">
        <f>MOD(1000000000000000,7)</f>
        <v>#NUM!</v>
      </c>
    </row>
    <row r="75" spans="1:1" x14ac:dyDescent="0.2">
      <c r="A75">
        <f>QUOTIENT(7,2)</f>
        <v>3</v>
      </c>
    </row>
    <row r="76" spans="1:1" x14ac:dyDescent="0.2">
      <c r="A76">
        <f>QUOTIENT(-7,2)</f>
        <v>-3</v>
      </c>
    </row>
    <row r="77" spans="1:1" x14ac:dyDescent="0.2">
      <c r="A77" t="e">
        <f>QUOTIENT(7,0)</f>
        <v>#DIV/0!</v>
      </c>
    </row>
    <row r="78" spans="1:1" x14ac:dyDescent="0.2">
      <c r="A78">
        <f>POWER(2,10)</f>
        <v>1024</v>
      </c>
    </row>
    <row r="79" spans="1:1" x14ac:dyDescent="0.2">
      <c r="A79">
        <f>POWER(-8,1/3)</f>
        <v>-1.9999999999999998</v>
      </c>
    </row>
    <row r="80" spans="1:1" x14ac:dyDescent="0.2">
      <c r="A80" t="e">
        <f>POWER(0,0)</f>
        <v>#NUM!</v>
      </c>
    </row>
    <row r="81" spans="1:1" x14ac:dyDescent="0.2">
      <c r="A81">
        <f>POWER(2,0.5)</f>
        <v>1.4142135623730951</v>
      </c>
    </row>
    <row r="82" spans="1:1" x14ac:dyDescent="0.2">
      <c r="A82" t="e">
        <f>POWER(0,-1)</f>
        <v>#DIV/0!</v>
      </c>
    </row>
    <row r="83" spans="1:1" x14ac:dyDescent="0.2">
      <c r="A83">
        <f>2^-1</f>
        <v>0.5</v>
      </c>
    </row>
    <row r="84" spans="1:1" x14ac:dyDescent="0.2">
      <c r="A84">
        <f>-2^2</f>
        <v>4</v>
      </c>
    </row>
    <row r="85" spans="1:1" x14ac:dyDescent="0.2">
      <c r="A85">
        <f>2^3^2</f>
        <v>64</v>
      </c>
    </row>
    <row r="86" spans="1:1" x14ac:dyDescent="0.2">
      <c r="A86" t="e">
        <f>0^0</f>
        <v>#NUM!</v>
      </c>
    </row>
    <row r="87" spans="1:1" x14ac:dyDescent="0.2">
      <c r="A87">
        <f>SQRT(16)</f>
        <v>4</v>
      </c>
    </row>
    <row r="88" spans="1:1" x14ac:dyDescent="0.2">
      <c r="A88" t="e">
        <f>SQRT(-1)</f>
        <v>#NUM!</v>
      </c>
    </row>
    <row r="89" spans="1:1" x14ac:dyDescent="0.2">
      <c r="A89">
        <f>SQRTPI(2)</f>
        <v>2.5066282746310002</v>
      </c>
    </row>
    <row r="90" spans="1:1" x14ac:dyDescent="0.2">
      <c r="A90">
        <f>EXP(1)</f>
        <v>2.7182818284590451</v>
      </c>
    </row>
    <row r="91" spans="1:1" x14ac:dyDescent="0.2">
      <c r="A91" t="e">
        <f>EXP(710)</f>
        <v>#NUM!</v>
      </c>
    </row>
    <row r="92" spans="1:1" x14ac:dyDescent="0.2">
      <c r="A92">
        <f>LN(10)</f>
        <v>2.3025850929940459</v>
      </c>
    </row>
    <row r="93" spans="1:1" x14ac:dyDescent="0.2">
      <c r="A93" t="e">
        <f>LN(0)</f>
        <v>#NUM!</v>
      </c>
    </row>
    <row r="94" spans="1:1" x14ac:dyDescent="0.2">
      <c r="A94">
        <f>LOG(100)</f>
        <v>2</v>
      </c>
    </row>
    <row r="95" spans="1:1" x14ac:dyDescent="0.2">
      <c r="A95">
        <f>LOG(8,2)</f>
        <v>3</v>
      </c>
    </row>
    <row r="96" spans="1:1" x14ac:dyDescent="0.2">
      <c r="A96">
        <f>LOG(1000,10)</f>
        <v>2.9999999999999996</v>
      </c>
    </row>
    <row r="97" spans="1:1" x14ac:dyDescent="0.2">
      <c r="A97" t="e">
        <f>LOG(10,1)</f>
        <v>#DIV/0!</v>
      </c>
    </row>
    <row r="98" spans="1:1" x14ac:dyDescent="0.2">
      <c r="A98">
        <f>LOG10(0.001)</f>
        <v>-3</v>
      </c>
    </row>
    <row r="99" spans="1:1" x14ac:dyDescent="0.2">
      <c r="A99">
        <f>PI()</f>
        <v>3.1415926535897931</v>
      </c>
    </row>
    <row r="100" spans="1:1" x14ac:dyDescent="0.2">
      <c r="A100">
        <f>DEGREES(PI())</f>
        <v>180</v>
      </c>
    </row>
    <row r="101" spans="1:1" x14ac:dyDescent="0.2">
      <c r="A101">
        <f>RADIANS(180)</f>
        <v>3.1415926535897931</v>
      </c>
    </row>
    <row r="102" spans="1:1" x14ac:dyDescent="0.2">
      <c r="A102">
        <f>SIN(PI())</f>
        <v>1.2246467991473532E-16</v>
      </c>
    </row>
    <row r="103" spans="1:1" x14ac:dyDescent="0.2">
      <c r="A103">
        <f>COS(PI()/3)</f>
        <v>0.50000000000000011</v>
      </c>
    </row>
    <row r="104" spans="1:1" x14ac:dyDescent="0.2">
      <c r="A104">
        <f>TAN(PI()/4)</f>
        <v>0.99999999999999989</v>
      </c>
    </row>
    <row r="105" spans="1:1" x14ac:dyDescent="0.2">
      <c r="A105">
        <f>ASIN(1)</f>
        <v>1.5707963267948966</v>
      </c>
    </row>
    <row r="106" spans="1:1" x14ac:dyDescent="0.2">
      <c r="A106" t="e">
        <f>ASIN(2)</f>
        <v>#NUM!</v>
      </c>
    </row>
    <row r="107" spans="1:1" x14ac:dyDescent="0.2">
      <c r="A107">
        <f>ACOS(-1)</f>
        <v>3.1415926535897931</v>
      </c>
    </row>
    <row r="108" spans="1:1" x14ac:dyDescent="0.2">
      <c r="A108">
        <f>ATAN(1)</f>
        <v>0.78539816339744828</v>
      </c>
    </row>
    <row r="109" spans="1:1" x14ac:dyDescent="0.2">
      <c r="A109">
        <f>ATAN2(1,1)</f>
        <v>0.78539816339744828</v>
      </c>
    </row>
    <row r="110" spans="1:1" x14ac:dyDescent="0.2">
      <c r="A110">
        <f>ATAN2(-1,0)</f>
        <v>3.1415926535897931</v>
      </c>
    </row>
    <row r="111" spans="1:1" x14ac:dyDescent="0.2">
      <c r="A111" t="e">
        <f>ATAN2(0,0)</f>
        <v>#DIV/0!</v>
      </c>
    </row>
    <row r="112" spans="1:1" x14ac:dyDescent="0.2">
      <c r="A112">
        <f>SINH(1)</f>
        <v>1.1752011936438014</v>
      </c>
    </row>
    <row r="113" spans="1:1" x14ac:dyDescent="0.2">
      <c r="A113">
        <f>COSH(1)</f>
        <v>1.5430806348152437</v>
      </c>
    </row>
    <row r="114" spans="1:1" x14ac:dyDescent="0.2">
      <c r="A114">
        <f>TANH(0.5)</f>
        <v>0.46211715726000979</v>
      </c>
    </row>
    <row r="115" spans="1:1" x14ac:dyDescent="0.2">
      <c r="A115">
        <f>ASINH(1)</f>
        <v>0.88137358701954294</v>
      </c>
    </row>
    <row r="116" spans="1:1" x14ac:dyDescent="0.2">
      <c r="A116">
        <f>ACOSH(1)</f>
        <v>0</v>
      </c>
    </row>
    <row r="117" spans="1:1" x14ac:dyDescent="0.2">
      <c r="A117" t="e">
        <f>ACOSH(0.5)</f>
        <v>#NUM!</v>
      </c>
    </row>
    <row r="118" spans="1:1" x14ac:dyDescent="0.2">
      <c r="A118">
        <f>ATANH(0.5)</f>
        <v>0.54930614433405489</v>
      </c>
    </row>
    <row r="119" spans="1:1" x14ac:dyDescent="0.2">
      <c r="A119">
        <f>_xlfn.COT(1)</f>
        <v>0.64209261593433076</v>
      </c>
    </row>
    <row r="120" spans="1:1" x14ac:dyDescent="0.2">
      <c r="A120" t="e">
        <f>_xlfn.COT(0)</f>
        <v>#DIV/0!</v>
      </c>
    </row>
    <row r="121" spans="1:1" x14ac:dyDescent="0.2">
      <c r="A121">
        <f>_xlfn.CSC(1)</f>
        <v>1.1883951057781212</v>
      </c>
    </row>
    <row r="122" spans="1:1" x14ac:dyDescent="0.2">
      <c r="A122">
        <f>_xlfn.SEC(1)</f>
        <v>1.8508157176809255</v>
      </c>
    </row>
    <row r="123" spans="1:1" x14ac:dyDescent="0.2">
      <c r="A123">
        <f>_xlfn.ACOT(1)</f>
        <v>0.78539816339744828</v>
      </c>
    </row>
    <row r="124" spans="1:1" x14ac:dyDescent="0.2">
      <c r="A124">
        <f>FACT(5)</f>
        <v>120</v>
      </c>
    </row>
    <row r="125" spans="1:1" x14ac:dyDescent="0.2">
      <c r="A125">
        <f>FACT(5.9)</f>
        <v>120</v>
      </c>
    </row>
    <row r="126" spans="1:1" x14ac:dyDescent="0.2">
      <c r="A126" t="e">
        <f>FACT(-1)</f>
        <v>#NUM!</v>
      </c>
    </row>
    <row r="127" spans="1:1" x14ac:dyDescent="0.2">
      <c r="A127">
        <f>FACT(170)</f>
        <v>7.257415615308004E+306</v>
      </c>
    </row>
    <row r="128" spans="1:1" x14ac:dyDescent="0.2">
      <c r="A128" t="e">
        <f>FACT(171)</f>
        <v>#NUM!</v>
      </c>
    </row>
    <row r="129" spans="1:1" x14ac:dyDescent="0.2">
      <c r="A129">
        <f>FACTDOUBLE(7)</f>
        <v>105</v>
      </c>
    </row>
    <row r="130" spans="1:1" x14ac:dyDescent="0.2">
      <c r="A130">
        <f>COMBIN(10,3)</f>
        <v>120</v>
      </c>
    </row>
    <row r="131" spans="1:1" x14ac:dyDescent="0.2">
      <c r="A131" t="e">
        <f>COMBIN(3,5)</f>
        <v>#NUM!</v>
      </c>
    </row>
    <row r="132" spans="1:1" x14ac:dyDescent="0.2">
      <c r="A132">
        <f>_xlfn.COMBINA(4,3)</f>
        <v>20</v>
      </c>
    </row>
    <row r="133" spans="1:1" x14ac:dyDescent="0.2">
      <c r="A133">
        <f>PERMUT(10,3)</f>
        <v>720</v>
      </c>
    </row>
    <row r="134" spans="1:1" x14ac:dyDescent="0.2">
      <c r="A134">
        <f>_xlfn.PERMUTATIONA(3,2)</f>
        <v>9</v>
      </c>
    </row>
    <row r="135" spans="1:1" x14ac:dyDescent="0.2">
      <c r="A135">
        <f>GCD(24,36,60)</f>
        <v>12</v>
      </c>
    </row>
    <row r="136" spans="1:1" x14ac:dyDescent="0.2">
      <c r="A136">
        <f>GCD(0,5)</f>
        <v>5</v>
      </c>
    </row>
    <row r="137" spans="1:1" x14ac:dyDescent="0.2">
      <c r="A137" t="e">
        <f>GCD(-4,6)</f>
        <v>#NUM!</v>
      </c>
    </row>
    <row r="138" spans="1:1" x14ac:dyDescent="0.2">
      <c r="A138">
        <f>LCM(4,6,10)</f>
        <v>60</v>
      </c>
    </row>
    <row r="139" spans="1:1" x14ac:dyDescent="0.2">
      <c r="A139">
        <f>EVEN(1.5)</f>
        <v>2</v>
      </c>
    </row>
    <row r="140" spans="1:1" x14ac:dyDescent="0.2">
      <c r="A140">
        <f>EVEN(-1.5)</f>
        <v>-2</v>
      </c>
    </row>
    <row r="141" spans="1:1" x14ac:dyDescent="0.2">
      <c r="A141">
        <f>ODD(2)</f>
        <v>3</v>
      </c>
    </row>
    <row r="142" spans="1:1" x14ac:dyDescent="0.2">
      <c r="A142">
        <f>ODD(-0.5)</f>
        <v>-1</v>
      </c>
    </row>
    <row r="143" spans="1:1" x14ac:dyDescent="0.2">
      <c r="A143">
        <f>ODD(0)</f>
        <v>1</v>
      </c>
    </row>
    <row r="144" spans="1:1" x14ac:dyDescent="0.2">
      <c r="A144">
        <f>MULTINOMIAL(2,3,4)</f>
        <v>1259.9999999999991</v>
      </c>
    </row>
    <row r="145" spans="1:1" x14ac:dyDescent="0.2">
      <c r="A145">
        <f>SERIESSUM(2,1,1,{1,2,3})</f>
        <v>34</v>
      </c>
    </row>
    <row r="146" spans="1:1" x14ac:dyDescent="0.2">
      <c r="A146">
        <f>SUMX2MY2(Data!A1:A5,Data!B1:B5)</f>
        <v>-70</v>
      </c>
    </row>
    <row r="147" spans="1:1" x14ac:dyDescent="0.2">
      <c r="A147">
        <f>SUMX2PY2(Data!A1:A5,Data!B1:B5)</f>
        <v>174</v>
      </c>
    </row>
    <row r="148" spans="1:1" x14ac:dyDescent="0.2">
      <c r="A148">
        <f>SUMXMY2(Data!A1:A5,Data!B1:B5)</f>
        <v>104</v>
      </c>
    </row>
    <row r="149" spans="1:1" x14ac:dyDescent="0.2">
      <c r="A149">
        <f>INDEX(MMULT({1,2;3,4},{5;6}),2,1)</f>
        <v>39</v>
      </c>
    </row>
    <row r="150" spans="1:1" x14ac:dyDescent="0.2">
      <c r="A150">
        <f>MDETERM({1,2;3,4})</f>
        <v>-2</v>
      </c>
    </row>
    <row r="151" spans="1:1" x14ac:dyDescent="0.2">
      <c r="A151">
        <f>MDETERM({1,2;2,4})</f>
        <v>0</v>
      </c>
    </row>
    <row r="152" spans="1:1" x14ac:dyDescent="0.2">
      <c r="A152">
        <f>INDEX(MINVERSE({4,7;2,6}),1,1)</f>
        <v>0.60000000000000009</v>
      </c>
    </row>
    <row r="153" spans="1:1" x14ac:dyDescent="0.2">
      <c r="A153" t="str">
        <f>ROMAN(1999)</f>
        <v>MCMXCIX</v>
      </c>
    </row>
    <row r="154" spans="1:1" x14ac:dyDescent="0.2">
      <c r="A154" t="str">
        <f>ROMAN(499,4)</f>
        <v>ID</v>
      </c>
    </row>
    <row r="155" spans="1:1" x14ac:dyDescent="0.2">
      <c r="A155" t="e">
        <f>ROMAN(4000)</f>
        <v>#VALUE!</v>
      </c>
    </row>
    <row r="156" spans="1:1" x14ac:dyDescent="0.2">
      <c r="A156">
        <f>_xlfn.ARABIC("MCMXCIX")</f>
        <v>1999</v>
      </c>
    </row>
    <row r="157" spans="1:1" x14ac:dyDescent="0.2">
      <c r="A157">
        <f>_xlfn.ARABIC("-XIV")</f>
        <v>-14</v>
      </c>
    </row>
    <row r="158" spans="1:1" x14ac:dyDescent="0.2">
      <c r="A158" t="str">
        <f>_xlfn.BASE(255,16)</f>
        <v>FF</v>
      </c>
    </row>
    <row r="159" spans="1:1" x14ac:dyDescent="0.2">
      <c r="A159" t="str">
        <f>_xlfn.BASE(5,2,8)</f>
        <v>00000101</v>
      </c>
    </row>
    <row r="160" spans="1:1" x14ac:dyDescent="0.2">
      <c r="A160">
        <f>_xlfn.DECIMAL("FF",16)</f>
        <v>255</v>
      </c>
    </row>
    <row r="161" spans="1:1" x14ac:dyDescent="0.2">
      <c r="A161">
        <f>_xlfn.DECIMAL("zz",36)</f>
        <v>1295</v>
      </c>
    </row>
    <row r="162" spans="1:1" x14ac:dyDescent="0.2">
      <c r="A162">
        <f>SUBTOTAL(9,Data!A1:A10)</f>
        <v>39</v>
      </c>
    </row>
    <row r="163" spans="1:1" x14ac:dyDescent="0.2">
      <c r="A163">
        <f>SUBTOTAL(1,Data!A1:A10)</f>
        <v>3.9</v>
      </c>
    </row>
    <row r="164" spans="1:1" x14ac:dyDescent="0.2">
      <c r="A164">
        <f>SUBTOTAL(109,Data!A1:A10)</f>
        <v>39</v>
      </c>
    </row>
    <row r="165" spans="1:1" x14ac:dyDescent="0.2">
      <c r="A165">
        <f>SUBTOTAL(4,Data!D1:D6)</f>
        <v>100</v>
      </c>
    </row>
    <row r="166" spans="1:1" x14ac:dyDescent="0.2">
      <c r="A166" t="e">
        <f>SUBTOTAL(12,Data!A1:A10)</f>
        <v>#VALUE!</v>
      </c>
    </row>
    <row r="167" spans="1:1" x14ac:dyDescent="0.2">
      <c r="A167">
        <f>_xlfn.AGGREGATE(9,6,Data!G1:G3)</f>
        <v>7</v>
      </c>
    </row>
    <row r="168" spans="1:1" x14ac:dyDescent="0.2">
      <c r="A168">
        <f>_xlfn.AGGREGATE(14,6,Data!A1:A10,2)</f>
        <v>6</v>
      </c>
    </row>
    <row r="169" spans="1:1" x14ac:dyDescent="0.2">
      <c r="A169">
        <f>_xlfn.AGGREGATE(4,0,Data!A1:A10)</f>
        <v>9</v>
      </c>
    </row>
    <row r="170" spans="1:1" x14ac:dyDescent="0.2">
      <c r="A170">
        <f>1+2*3</f>
        <v>7</v>
      </c>
    </row>
    <row r="171" spans="1:1" x14ac:dyDescent="0.2">
      <c r="A171">
        <f>(1+2)*3</f>
        <v>9</v>
      </c>
    </row>
    <row r="172" spans="1:1" x14ac:dyDescent="0.2">
      <c r="A172">
        <f>10/4</f>
        <v>2.5</v>
      </c>
    </row>
    <row r="173" spans="1:1" x14ac:dyDescent="0.2">
      <c r="A173" t="e">
        <f>2/0</f>
        <v>#DIV/0!</v>
      </c>
    </row>
    <row r="174" spans="1:1" x14ac:dyDescent="0.2">
      <c r="A174">
        <f>0.1+0.2</f>
        <v>0.30000000000000004</v>
      </c>
    </row>
    <row r="175" spans="1:1" x14ac:dyDescent="0.2">
      <c r="A175">
        <f>0.1+0.2-0.3</f>
        <v>0</v>
      </c>
    </row>
    <row r="176" spans="1:1" x14ac:dyDescent="0.2">
      <c r="A176">
        <f>1-0.9</f>
        <v>9.9999999999999978E-2</v>
      </c>
    </row>
    <row r="177" spans="1:1" x14ac:dyDescent="0.2">
      <c r="A177">
        <f>1/3*3</f>
        <v>1</v>
      </c>
    </row>
    <row r="178" spans="1:1" x14ac:dyDescent="0.2">
      <c r="A178">
        <f>4.35*100</f>
        <v>434.99999999999994</v>
      </c>
    </row>
    <row r="180" spans="1:1" x14ac:dyDescent="0.2">
      <c r="A180">
        <f>50%*2</f>
        <v>1</v>
      </c>
    </row>
    <row r="181" spans="1:1" x14ac:dyDescent="0.2">
      <c r="A181">
        <f>10%%</f>
        <v>1E-3</v>
      </c>
    </row>
    <row r="182" spans="1:1" x14ac:dyDescent="0.2">
      <c r="A182">
        <f>--5</f>
        <v>5</v>
      </c>
    </row>
    <row r="183" spans="1:1" x14ac:dyDescent="0.2">
      <c r="A183">
        <f>Data!A1+Data!B1</f>
        <v>5</v>
      </c>
    </row>
    <row r="184" spans="1:1" x14ac:dyDescent="0.2">
      <c r="A184">
        <f>Data!A1-Data!B1*Data!A2/Data!B2^2</f>
        <v>2.9591836734693877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C874-D4C3-AE40-9C77-78F309304ED3}">
  <dimension ref="A1:H10"/>
  <sheetViews>
    <sheetView tabSelected="1" workbookViewId="0"/>
  </sheetViews>
  <sheetFormatPr baseColWidth="10" defaultRowHeight="16" x14ac:dyDescent="0.2"/>
  <sheetData>
    <row r="1" spans="1:8" x14ac:dyDescent="0.2">
      <c r="A1">
        <v>3</v>
      </c>
      <c r="B1">
        <v>2</v>
      </c>
      <c r="C1">
        <v>10</v>
      </c>
      <c r="D1">
        <v>-2.5</v>
      </c>
      <c r="E1" s="1" t="s">
        <v>2</v>
      </c>
      <c r="G1" t="e">
        <v>#N/A</v>
      </c>
    </row>
    <row r="2" spans="1:8" x14ac:dyDescent="0.2">
      <c r="A2">
        <v>1</v>
      </c>
      <c r="B2">
        <v>7</v>
      </c>
      <c r="C2" s="1" t="s">
        <v>0</v>
      </c>
      <c r="D2">
        <v>0</v>
      </c>
      <c r="E2" s="1" t="s">
        <v>3</v>
      </c>
      <c r="G2" t="e">
        <v>#DIV/0!</v>
      </c>
      <c r="H2" t="str">
        <f>""</f>
        <v/>
      </c>
    </row>
    <row r="3" spans="1:8" x14ac:dyDescent="0.2">
      <c r="A3">
        <v>4</v>
      </c>
      <c r="B3">
        <v>1</v>
      </c>
      <c r="C3" t="b">
        <v>1</v>
      </c>
      <c r="D3">
        <v>1.25</v>
      </c>
      <c r="E3" s="1" t="s">
        <v>4</v>
      </c>
      <c r="G3">
        <v>7</v>
      </c>
      <c r="H3" s="1" t="s">
        <v>8</v>
      </c>
    </row>
    <row r="4" spans="1:8" x14ac:dyDescent="0.2">
      <c r="A4">
        <v>1</v>
      </c>
      <c r="B4">
        <v>8</v>
      </c>
      <c r="D4">
        <v>-7</v>
      </c>
      <c r="E4" s="1" t="s">
        <v>5</v>
      </c>
      <c r="H4">
        <v>0</v>
      </c>
    </row>
    <row r="5" spans="1:8" x14ac:dyDescent="0.2">
      <c r="A5">
        <v>5</v>
      </c>
      <c r="B5">
        <v>2</v>
      </c>
      <c r="C5">
        <v>20</v>
      </c>
      <c r="D5">
        <v>100</v>
      </c>
      <c r="E5" s="1" t="s">
        <v>6</v>
      </c>
    </row>
    <row r="6" spans="1:8" x14ac:dyDescent="0.2">
      <c r="A6">
        <v>9</v>
      </c>
      <c r="B6">
        <v>8</v>
      </c>
      <c r="C6" s="1" t="s">
        <v>1</v>
      </c>
      <c r="D6">
        <v>1E-3</v>
      </c>
      <c r="E6" s="1" t="s">
        <v>7</v>
      </c>
    </row>
    <row r="7" spans="1:8" x14ac:dyDescent="0.2">
      <c r="A7">
        <v>2</v>
      </c>
      <c r="B7">
        <v>1</v>
      </c>
      <c r="C7" t="b">
        <v>0</v>
      </c>
    </row>
    <row r="8" spans="1:8" x14ac:dyDescent="0.2">
      <c r="A8">
        <v>6</v>
      </c>
      <c r="B8">
        <v>8</v>
      </c>
      <c r="C8">
        <v>30</v>
      </c>
    </row>
    <row r="9" spans="1:8" x14ac:dyDescent="0.2">
      <c r="A9">
        <v>5</v>
      </c>
      <c r="B9">
        <v>2</v>
      </c>
    </row>
    <row r="10" spans="1:8" x14ac:dyDescent="0.2">
      <c r="A10">
        <v>3</v>
      </c>
      <c r="B1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2026-10-30T04:43:52Z</dcterms:created>
  <dcterms:modified xsi:type="dcterms:W3CDTF">2026-10-30T04:43:58Z</dcterms:modified>
</cp:coreProperties>
</file>