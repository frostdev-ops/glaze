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988A7384-5326-E449-9A8A-246924E619AA}" xr6:coauthVersionLast="47" xr6:coauthVersionMax="47" xr10:uidLastSave="{00000000-0000-0000-0000-000000000000}"/>
  <bookViews>
    <workbookView xWindow="3980" yWindow="2780" windowWidth="28040" windowHeight="17180" activeTab="1" xr2:uid="{A5637E25-2541-AB4C-A52A-340DE2F5C526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6" i="1" l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H2" i="2"/>
</calcChain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<sst xmlns="http://schemas.openxmlformats.org/spreadsheetml/2006/main" count="1" uniqueCount="1">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</sst>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8035-99EE-FF42-907E-0FD767E3325B}">
  <dimension ref="A1:A96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t="str">
        <f>TEXT(1234.567,"[$-409]0")</f>
        <v>1235</v>
      </c>
    </row>
    <row r="2" spans="1:1" x14ac:dyDescent="0.2">
      <c r="A2" t="str">
        <f>TEXT(1234.567,"[$-409]0.00")</f>
        <v>1234.57</v>
      </c>
    </row>
    <row r="3" spans="1:1" x14ac:dyDescent="0.2">
      <c r="A3" t="str">
        <f>TEXT(1234.567,"[$-409]#,##0")</f>
        <v>1,235</v>
      </c>
    </row>
    <row r="4" spans="1:1" x14ac:dyDescent="0.2">
      <c r="A4" t="str">
        <f>TEXT(1234.567,"[$-409]#,##0.00")</f>
        <v>1,234.57</v>
      </c>
    </row>
    <row r="5" spans="1:1" x14ac:dyDescent="0.2">
      <c r="A5" t="str">
        <f>TEXT(1234.567,"[$-409]$#,##0.00")</f>
        <v>$1,234.57</v>
      </c>
    </row>
    <row r="6" spans="1:1" x14ac:dyDescent="0.2">
      <c r="A6" t="str">
        <f>TEXT(0.256,"[$-409]0%")</f>
        <v>26%</v>
      </c>
    </row>
    <row r="7" spans="1:1" x14ac:dyDescent="0.2">
      <c r="A7" t="str">
        <f>TEXT(0.256,"[$-409]0.0%")</f>
        <v>25.6%</v>
      </c>
    </row>
    <row r="8" spans="1:1" x14ac:dyDescent="0.2">
      <c r="A8" t="str">
        <f>TEXT(1234.567,"[$-409]0.00E+00")</f>
        <v>1.23E+03</v>
      </c>
    </row>
    <row r="9" spans="1:1" x14ac:dyDescent="0.2">
      <c r="A9" t="str">
        <f>TEXT(1234.567,"[$-409]##0.0E+0")</f>
        <v>1.2E+3</v>
      </c>
    </row>
    <row r="10" spans="1:1" x14ac:dyDescent="0.2">
      <c r="A10" t="str">
        <f>TEXT(0.000123,"[$-409]0.00E+00")</f>
        <v>1.23E-04</v>
      </c>
    </row>
    <row r="11" spans="1:1" x14ac:dyDescent="0.2">
      <c r="A11" t="str">
        <f>TEXT(1234,"[$-409]0E+00")</f>
        <v>1E+03</v>
      </c>
    </row>
    <row r="12" spans="1:1" x14ac:dyDescent="0.2">
      <c r="A12" t="str">
        <f>TEXT(1234.567,"[$-409]0.0#")</f>
        <v>1234.57</v>
      </c>
    </row>
    <row r="13" spans="1:1" x14ac:dyDescent="0.2">
      <c r="A13" t="str">
        <f>TEXT(1234,"[$-409]#.##")</f>
        <v>1234.</v>
      </c>
    </row>
    <row r="14" spans="1:1" x14ac:dyDescent="0.2">
      <c r="A14" t="str">
        <f>TEXT(0.5,"[$-409]#")</f>
        <v>1</v>
      </c>
    </row>
    <row r="15" spans="1:1" x14ac:dyDescent="0.2">
      <c r="A15" t="str">
        <f>TEXT(5,"[$-409]000.000")</f>
        <v>005.000</v>
      </c>
    </row>
    <row r="16" spans="1:1" x14ac:dyDescent="0.2">
      <c r="A16" t="str">
        <f>TEXT(1234567,"[$-409]#,##0,")</f>
        <v>1,235</v>
      </c>
    </row>
    <row r="17" spans="1:1" x14ac:dyDescent="0.2">
      <c r="A17" t="str">
        <f>TEXT(1234567,"[$-409]#,##0.0,,""M""")</f>
        <v>1.2M</v>
      </c>
    </row>
    <row r="18" spans="1:1" x14ac:dyDescent="0.2">
      <c r="A18" t="str">
        <f>TEXT(5,"[$-409]00000")</f>
        <v>00005</v>
      </c>
    </row>
    <row r="19" spans="1:1" x14ac:dyDescent="0.2">
      <c r="A19" t="str">
        <f>TEXT(-1234.5,"[$-409]#,##0.00;(#,##0.00)")</f>
        <v>(1,234.50)</v>
      </c>
    </row>
    <row r="20" spans="1:1" x14ac:dyDescent="0.2">
      <c r="A20" t="str">
        <f>TEXT(0,"[$-409]0;-0;""zero""")</f>
        <v>zero</v>
      </c>
    </row>
    <row r="21" spans="1:1" x14ac:dyDescent="0.2">
      <c r="A21" t="str">
        <f>TEXT(-5,"[$-409]0;-0;""zero""")</f>
        <v>-5</v>
      </c>
    </row>
    <row r="22" spans="1:1" x14ac:dyDescent="0.2">
      <c r="A22" t="str">
        <f>TEXT(-5,"[$-409]0")</f>
        <v>-5</v>
      </c>
    </row>
    <row r="23" spans="1:1" x14ac:dyDescent="0.2">
      <c r="A23" t="str">
        <f>TEXT(-5,"[$-409]0;0")</f>
        <v>5</v>
      </c>
    </row>
    <row r="24" spans="1:1" x14ac:dyDescent="0.2">
      <c r="A24" t="str">
        <f>TEXT(-0.4,"[$-409]0")</f>
        <v>0</v>
      </c>
    </row>
    <row r="25" spans="1:1" x14ac:dyDescent="0.2">
      <c r="A25" t="str">
        <f>TEXT("abc","[$-409]0;-0;0;@!")</f>
        <v>abc!</v>
      </c>
    </row>
    <row r="26" spans="1:1" x14ac:dyDescent="0.2">
      <c r="A26" t="str">
        <f>TEXT("abc","[$-409]@")</f>
        <v>abc</v>
      </c>
    </row>
    <row r="27" spans="1:1" x14ac:dyDescent="0.2">
      <c r="A27" t="str">
        <f>TEXT("abc","[$-409]""text: ""@")</f>
        <v>text: abc</v>
      </c>
    </row>
    <row r="28" spans="1:1" x14ac:dyDescent="0.2">
      <c r="A28" t="str">
        <f>TEXT(5,"[$-409]@")</f>
        <v>5</v>
      </c>
    </row>
    <row r="29" spans="1:1" x14ac:dyDescent="0.2">
      <c r="A29" t="str">
        <f>TEXT(1234.5,"[$-409][Red]0.0")</f>
        <v>1234.5</v>
      </c>
    </row>
    <row r="30" spans="1:1" x14ac:dyDescent="0.2">
      <c r="A30" t="str">
        <f>TEXT(1500,"[$-409][&gt;1000]""big"";""small""")</f>
        <v>big</v>
      </c>
    </row>
    <row r="31" spans="1:1" x14ac:dyDescent="0.2">
      <c r="A31" t="str">
        <f>TEXT(500,"[$-409][&gt;1000]""big"";""small""")</f>
        <v>small</v>
      </c>
    </row>
    <row r="32" spans="1:1" x14ac:dyDescent="0.2">
      <c r="A32" t="str">
        <f>TEXT(2.5,"[$-409]0")</f>
        <v>3</v>
      </c>
    </row>
    <row r="33" spans="1:1" x14ac:dyDescent="0.2">
      <c r="A33" t="str">
        <f>TEXT(-2.5,"[$-409]0")</f>
        <v>-3</v>
      </c>
    </row>
    <row r="34" spans="1:1" x14ac:dyDescent="0.2">
      <c r="A34" t="str">
        <f>TEXT(0.125,"[$-409]0.00")</f>
        <v>0.13</v>
      </c>
    </row>
    <row r="35" spans="1:1" x14ac:dyDescent="0.2">
      <c r="A35" t="str">
        <f>TEXT(1.005,"[$-409]0.00")</f>
        <v>1.01</v>
      </c>
    </row>
    <row r="36" spans="1:1" x14ac:dyDescent="0.2">
      <c r="A36" t="str">
        <f>TEXT(1000000000000000,"[$-409]0")</f>
        <v>1000000000000000</v>
      </c>
    </row>
    <row r="37" spans="1:1" x14ac:dyDescent="0.2">
      <c r="A37" t="str">
        <f>TEXT(123456789012345000,"[$-409]0")</f>
        <v>123456789012345000</v>
      </c>
    </row>
    <row r="38" spans="1:1" x14ac:dyDescent="0.2">
      <c r="A38" t="str">
        <f>TEXT(0.75,"[$-409]# ?/?")</f>
        <v xml:space="preserve"> 3/4</v>
      </c>
    </row>
    <row r="39" spans="1:1" x14ac:dyDescent="0.2">
      <c r="A39" t="str">
        <f>TEXT(1.75,"[$-409]# ?/?")</f>
        <v>1 3/4</v>
      </c>
    </row>
    <row r="40" spans="1:1" x14ac:dyDescent="0.2">
      <c r="A40" t="str">
        <f>TEXT(0.333,"[$-409]?/???")</f>
        <v xml:space="preserve">1/3  </v>
      </c>
    </row>
    <row r="41" spans="1:1" x14ac:dyDescent="0.2">
      <c r="A41" t="str">
        <f>TEXT(3.14159,"[$-409]# ??/??")</f>
        <v xml:space="preserve">3  1/7 </v>
      </c>
    </row>
    <row r="42" spans="1:1" x14ac:dyDescent="0.2">
      <c r="A42" t="str">
        <f>TEXT(-1.5,"[$-409]# ?/?")</f>
        <v>-1 1/2</v>
      </c>
    </row>
    <row r="43" spans="1:1" x14ac:dyDescent="0.2">
      <c r="A43" t="str">
        <f>TEXT(0.3,"[$-409]?/8")</f>
        <v>2/8</v>
      </c>
    </row>
    <row r="44" spans="1:1" x14ac:dyDescent="0.2">
      <c r="A44" t="str">
        <f>TEXT(1,"[$-409]0%")</f>
        <v>100%</v>
      </c>
    </row>
    <row r="45" spans="1:1" x14ac:dyDescent="0.2">
      <c r="A45" t="str">
        <f>TEXT(12345.678,"[$-409]General")</f>
        <v>12345.678</v>
      </c>
    </row>
    <row r="46" spans="1:1" x14ac:dyDescent="0.2">
      <c r="A46" t="str">
        <f>TEXT(1/3,"[$-409]General")</f>
        <v>0.333333333</v>
      </c>
    </row>
    <row r="47" spans="1:1" x14ac:dyDescent="0.2">
      <c r="A47" t="str">
        <f>TEXT(100000000000000000000,"[$-409]General")</f>
        <v>1E+20</v>
      </c>
    </row>
    <row r="48" spans="1:1" x14ac:dyDescent="0.2">
      <c r="A48" t="str">
        <f>TEXT(0.00001,"[$-409]General")</f>
        <v>0.00001</v>
      </c>
    </row>
    <row r="49" spans="1:1" x14ac:dyDescent="0.2">
      <c r="A49" t="str">
        <f>TEXT(123456789012,"[$-409]General")</f>
        <v>1.23457E+11</v>
      </c>
    </row>
    <row r="50" spans="1:1" x14ac:dyDescent="0.2">
      <c r="A50" t="str">
        <f>TEXT(45351,"[$-409]yyyy-mm-dd")</f>
        <v>2024-02-29</v>
      </c>
    </row>
    <row r="51" spans="1:1" x14ac:dyDescent="0.2">
      <c r="A51" t="str">
        <f>TEXT(45351,"[$-409]m/d/yyyy")</f>
        <v>2/29/2024</v>
      </c>
    </row>
    <row r="52" spans="1:1" x14ac:dyDescent="0.2">
      <c r="A52" t="str">
        <f>TEXT(45351,"[$-409]mmm d, yyyy")</f>
        <v>Feb 29, 2024</v>
      </c>
    </row>
    <row r="53" spans="1:1" x14ac:dyDescent="0.2">
      <c r="A53" t="str">
        <f>TEXT(45351,"[$-409]mmmm")</f>
        <v>February</v>
      </c>
    </row>
    <row r="54" spans="1:1" x14ac:dyDescent="0.2">
      <c r="A54" t="str">
        <f>TEXT(45351,"[$-409]mmmmm")</f>
        <v>F</v>
      </c>
    </row>
    <row r="55" spans="1:1" x14ac:dyDescent="0.2">
      <c r="A55" t="str">
        <f>TEXT(45351,"[$-409]dddd")</f>
        <v>Thursday</v>
      </c>
    </row>
    <row r="56" spans="1:1" x14ac:dyDescent="0.2">
      <c r="A56" t="str">
        <f>TEXT(45351,"[$-409]ddd")</f>
        <v>Thu</v>
      </c>
    </row>
    <row r="57" spans="1:1" x14ac:dyDescent="0.2">
      <c r="A57" t="str">
        <f>TEXT(45351,"[$-409]d")</f>
        <v>29</v>
      </c>
    </row>
    <row r="58" spans="1:1" x14ac:dyDescent="0.2">
      <c r="A58" t="str">
        <f>TEXT(45351,"[$-409]dd")</f>
        <v>29</v>
      </c>
    </row>
    <row r="59" spans="1:1" x14ac:dyDescent="0.2">
      <c r="A59" t="str">
        <f>TEXT(45351,"[$-409]yy")</f>
        <v>24</v>
      </c>
    </row>
    <row r="60" spans="1:1" x14ac:dyDescent="0.2">
      <c r="A60" t="str">
        <f>TEXT(45351,"[$-409]m")</f>
        <v>2</v>
      </c>
    </row>
    <row r="61" spans="1:1" x14ac:dyDescent="0.2">
      <c r="A61" t="str">
        <f>TEXT(45351,"[$-409]mm")</f>
        <v>02</v>
      </c>
    </row>
    <row r="62" spans="1:1" x14ac:dyDescent="0.2">
      <c r="A62" t="str">
        <f>TEXT(45351,"[$-409]d-mmm-yy")</f>
        <v>29-Feb-24</v>
      </c>
    </row>
    <row r="63" spans="1:1" x14ac:dyDescent="0.2">
      <c r="A63" t="str">
        <f>TEXT(45351,"[$-409]mmmm d"", ""yyyy")</f>
        <v>February 29, 2024</v>
      </c>
    </row>
    <row r="64" spans="1:1" x14ac:dyDescent="0.2">
      <c r="A64" t="str">
        <f>TEXT(45351,"[$-409]mmmm d, yyyy")</f>
        <v>February 29, 2024</v>
      </c>
    </row>
    <row r="65" spans="1:1" x14ac:dyDescent="0.2">
      <c r="A65" t="str">
        <f>TEXT(45351.75,"[$-409]h:mm AM/PM")</f>
        <v>6:00 PM</v>
      </c>
    </row>
    <row r="66" spans="1:1" x14ac:dyDescent="0.2">
      <c r="A66" t="str">
        <f>TEXT(45351.75,"[$-409]h:mm:ss")</f>
        <v>18:00:00</v>
      </c>
    </row>
    <row r="67" spans="1:1" x14ac:dyDescent="0.2">
      <c r="A67" t="str">
        <f>TEXT(45351.5104,"[$-409]hh:mm:ss.000")</f>
        <v>12:14:58.560</v>
      </c>
    </row>
    <row r="68" spans="1:1" x14ac:dyDescent="0.2">
      <c r="A68" t="str">
        <f>TEXT(45351.7,"[$-409]h:m")</f>
        <v>16:48</v>
      </c>
    </row>
    <row r="69" spans="1:1" x14ac:dyDescent="0.2">
      <c r="A69" t="str">
        <f>TEXT(45351.7,"[$-409]hh:mm A/P")</f>
        <v>04:48 PM</v>
      </c>
    </row>
    <row r="70" spans="1:1" x14ac:dyDescent="0.2">
      <c r="A70" t="str">
        <f>TEXT(1.5,"[$-409][h]:mm")</f>
        <v>36:00</v>
      </c>
    </row>
    <row r="71" spans="1:1" x14ac:dyDescent="0.2">
      <c r="A71" t="str">
        <f>TEXT(1.5,"[$-409][mm]:ss")</f>
        <v>2160:00</v>
      </c>
    </row>
    <row r="72" spans="1:1" x14ac:dyDescent="0.2">
      <c r="A72" t="str">
        <f>TEXT(0.5,"[$-409][ss]")</f>
        <v>43200</v>
      </c>
    </row>
    <row r="73" spans="1:1" x14ac:dyDescent="0.2">
      <c r="A73" t="str">
        <f>TEXT(0.0125,"[$-409]mm:ss")</f>
        <v>18:00</v>
      </c>
    </row>
    <row r="74" spans="1:1" x14ac:dyDescent="0.2">
      <c r="A74" t="str">
        <f>TEXT(0.99999999,"[$-409]hh:mm:ss")</f>
        <v>00:00:00</v>
      </c>
    </row>
    <row r="75" spans="1:1" x14ac:dyDescent="0.2">
      <c r="A75" t="str">
        <f>TEXT(60,"[$-409]yyyy-mm-dd")</f>
        <v>1900-02-29</v>
      </c>
    </row>
    <row r="76" spans="1:1" x14ac:dyDescent="0.2">
      <c r="A76" t="str">
        <f>TEXT(0,"[$-409]yyyy-mm-dd")</f>
        <v>1900-01-00</v>
      </c>
    </row>
    <row r="77" spans="1:1" x14ac:dyDescent="0.2">
      <c r="A77" t="str">
        <f>TEXT(0,"[$-409]dddd")</f>
        <v>Saturday</v>
      </c>
    </row>
    <row r="78" spans="1:1" x14ac:dyDescent="0.2">
      <c r="A78" t="str">
        <f>TEXT(1,"[$-409]dddd")</f>
        <v>Sunday</v>
      </c>
    </row>
    <row r="79" spans="1:1" x14ac:dyDescent="0.2">
      <c r="A79" t="e">
        <f>TEXT(-1,"[$-409]yyyy")</f>
        <v>#VALUE!</v>
      </c>
    </row>
    <row r="80" spans="1:1" x14ac:dyDescent="0.2">
      <c r="A80" t="str">
        <f>TEXT(2958465.999,"[$-409]yyyy-mm-dd hh:mm:ss")</f>
        <v>9999-12-31 23:58:34</v>
      </c>
    </row>
    <row r="81" spans="1:1" x14ac:dyDescent="0.2">
      <c r="A81" t="str">
        <f>TEXT(5,"[$-409]\$0")</f>
        <v>$5</v>
      </c>
    </row>
    <row r="82" spans="1:1" x14ac:dyDescent="0.2">
      <c r="A82" t="str">
        <f>TEXT(5,"[$-409]0 ""units""")</f>
        <v>5 units</v>
      </c>
    </row>
    <row r="83" spans="1:1" x14ac:dyDescent="0.2">
      <c r="A83" t="str">
        <f>TEXT(5,"[$-409]0_)")</f>
        <v xml:space="preserve">5 </v>
      </c>
    </row>
    <row r="84" spans="1:1" x14ac:dyDescent="0.2">
      <c r="A84" t="str">
        <f>TEXT(5,"[$-409]* 0")</f>
        <v>5</v>
      </c>
    </row>
    <row r="85" spans="1:1" x14ac:dyDescent="0.2">
      <c r="A85" t="str">
        <f>TEXT(123456789,"[$-409]000-00-0000")</f>
        <v>123-45-6789</v>
      </c>
    </row>
    <row r="86" spans="1:1" x14ac:dyDescent="0.2">
      <c r="A86" t="str">
        <f>TEXT(5551234567,"[$-409](###) ###-####")</f>
        <v>(555) 123-4567</v>
      </c>
    </row>
    <row r="87" spans="1:1" x14ac:dyDescent="0.2">
      <c r="A87" t="str">
        <f>TEXT(0.5,"[$-409]0.0 %")</f>
        <v>50.0 %</v>
      </c>
    </row>
    <row r="88" spans="1:1" x14ac:dyDescent="0.2">
      <c r="A88" t="str">
        <f>TEXT(1,"")</f>
        <v/>
      </c>
    </row>
    <row r="89" spans="1:1" x14ac:dyDescent="0.2">
      <c r="A89" t="str">
        <f>TEXT(Data!H1,"[$-409]0")</f>
        <v>0</v>
      </c>
    </row>
    <row r="90" spans="1:1" x14ac:dyDescent="0.2">
      <c r="A90" t="str">
        <f>TEXT(TRUE,"[$-409]0")</f>
        <v>TRUE</v>
      </c>
    </row>
    <row r="91" spans="1:1" x14ac:dyDescent="0.2">
      <c r="A91" t="str">
        <f>TEXT("12","[$-409]0.00")</f>
        <v>12.00</v>
      </c>
    </row>
    <row r="92" spans="1:1" x14ac:dyDescent="0.2">
      <c r="A92" t="str">
        <f>TEXT("x","[$-409]0.00")</f>
        <v>x</v>
      </c>
    </row>
    <row r="93" spans="1:1" x14ac:dyDescent="0.2">
      <c r="A93" t="e">
        <f>TEXT(#N/A,"[$-409]0")</f>
        <v>#N/A</v>
      </c>
    </row>
    <row r="94" spans="1:1" x14ac:dyDescent="0.2">
      <c r="A94" t="str">
        <f>TEXT(1234.5,"[$-409]#,##0.00 ""USD""")</f>
        <v>1,234.50 USD</v>
      </c>
    </row>
    <row r="95" spans="1:1" x14ac:dyDescent="0.2">
      <c r="A95" t="str">
        <f>TEXT(-1234.5,"[$-409]$#,##0.00_);[Red]($#,##0.00)")</f>
        <v>($1,234.50)</v>
      </c>
    </row>
    <row r="96" spans="1:1" x14ac:dyDescent="0.2">
      <c r="A96" t="str">
        <f>TEXT(0,"[$-409]$#,##0.00_);($#,##0.00);""-""")</f>
        <v>-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C501-1C20-8146-A8E4-8EE67641B43D}">
  <dimension ref="H2:H4"/>
  <sheetViews>
    <sheetView tabSelected="1" workbookViewId="0"/>
  </sheetViews>
  <sheetFormatPr baseColWidth="10" defaultRowHeight="16" x14ac:dyDescent="0.2"/>
  <sheetData>
    <row r="2" spans="8:8" x14ac:dyDescent="0.2">
      <c r="H2" t="str">
        <f>""</f>
        <v/>
      </c>
    </row>
    <row r="3" spans="8:8" x14ac:dyDescent="0.2">
      <c r="H3" s="1" t="s">
        <v>0</v>
      </c>
    </row>
    <row r="4" spans="8:8" x14ac:dyDescent="0.2"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2026-10-30T04:44:34Z</dcterms:created>
  <dcterms:modified xsi:type="dcterms:W3CDTF">2026-10-30T04:44:37Z</dcterms:modified>
</cp:coreProperties>
</file>