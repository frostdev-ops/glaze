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B08925B7-723C-6A4D-8113-E0066B746A16}" xr6:coauthVersionLast="47" xr6:coauthVersionMax="47" xr10:uidLastSave="{00000000-0000-0000-0000-000000000000}"/>
  <bookViews>
    <workbookView xWindow="3980" yWindow="2780" windowWidth="28040" windowHeight="17180" activeTab="5" xr2:uid="{3F932247-0AEA-004B-BFAD-A71DD602F59D}"/>
  </bookViews>
  <sheets>
    <sheet name="Cases" sheetId="1" r:id="rId1"/>
    <sheet name="Data" sheetId="2" r:id="rId2"/>
    <sheet name="Jan" sheetId="3" r:id="rId3"/>
    <sheet name="Feb" sheetId="4" r:id="rId4"/>
    <sheet name="Mar" sheetId="5" r:id="rId5"/>
    <sheet name="Sheet 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 a="1"/>
  <c r="H7" i="1" s="1"/>
  <c r="H6" i="1" a="1"/>
  <c r="H6" i="1" s="1"/>
  <c r="H5" i="1" a="1"/>
  <c r="H5" i="1" s="1"/>
  <c r="H1" i="1" a="1"/>
  <c r="G2" i="1"/>
  <c r="G3" i="1"/>
  <c r="G4" i="1"/>
  <c r="G1" i="1"/>
  <c r="D2" i="1"/>
  <c r="E2" i="1"/>
  <c r="F2" i="1"/>
  <c r="D3" i="1"/>
  <c r="E3" i="1"/>
  <c r="F3" i="1"/>
  <c r="E1" i="1"/>
  <c r="F1" i="1"/>
  <c r="D1" i="1"/>
  <c r="C2" i="1"/>
  <c r="C3" i="1"/>
  <c r="C4" i="1"/>
  <c r="C5" i="1"/>
  <c r="C1" i="1"/>
  <c r="A41" i="1"/>
  <c r="A40" i="1"/>
  <c r="A39" i="1" a="1"/>
  <c r="A38" i="1"/>
  <c r="A37" i="1"/>
  <c r="A36" i="1"/>
  <c r="A35" i="1"/>
  <c r="A34" i="1"/>
  <c r="A33" i="1" a="1"/>
  <c r="A32" i="1" a="1"/>
  <c r="A31" i="1" a="1"/>
  <c r="A30" i="1"/>
  <c r="A29" i="1"/>
  <c r="A28" i="1"/>
  <c r="A27" i="1"/>
  <c r="A26" i="1"/>
  <c r="A25" i="1"/>
  <c r="A24" i="1"/>
  <c r="A23" i="1"/>
  <c r="A22" i="1"/>
  <c r="A21" i="1"/>
  <c r="A20" i="1"/>
  <c r="A19" i="1" a="1"/>
  <c r="A18" i="1"/>
  <c r="A17" i="1" a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1" i="1" l="1"/>
  <c r="H2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<sst xmlns="http://schemas.openxmlformats.org/spreadsheetml/2006/main" count="2" uniqueCount="2">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</sst>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72F4-2DE3-9F43-8CF6-7ABFB7E36A19}">
  <dimension ref="A1:H41"/>
  <sheetViews>
    <sheetView workbookViewId="0"/>
  </sheetViews>
  <sheetFormatPr baseColWidth="10" defaultRowHeight="16" x14ac:dyDescent="0.2"/>
  <cols>
    <col min="1" max="1" width="80.83203125" customWidth="1"/>
    <col min="3" max="8" width="80.83203125" customWidth="1"/>
  </cols>
  <sheetData>
    <row r="1" spans="1:8" x14ac:dyDescent="0.2">
      <c r="A1">
        <f>SUM(Jan:Mar!B2)</f>
        <v>111</v>
      </c>
      <c r="C1">
        <f>Data!A1*2</f>
        <v>6</v>
      </c>
      <c r="D1">
        <f>Data!$AC$1+Data!AC$1*10+Data!$AC2*100+Data!AC2*1000</f>
        <v>4411</v>
      </c>
      <c r="E1">
        <f>Data!$AC$1+Data!AD$1*10+Data!$AC2*100+Data!AD2*1000</f>
        <v>5421</v>
      </c>
      <c r="F1">
        <f>Data!$AC$1+Data!AE$1*10+Data!$AC2*100+Data!AE2*1000</f>
        <v>6431</v>
      </c>
      <c r="G1">
        <f>SUM(Data!$AC$1:AC1)</f>
        <v>1</v>
      </c>
      <c r="H1">
        <f t="array" ref="H1:H3">Data!AC1:AC3*10</f>
        <v>10</v>
      </c>
    </row>
    <row r="2" spans="1:8" x14ac:dyDescent="0.2">
      <c r="A2">
        <f>SUM(Jan:Mar!B2:C3)</f>
        <v>710</v>
      </c>
      <c r="C2">
        <f>Data!A2*2</f>
        <v>2</v>
      </c>
      <c r="D2">
        <f>Data!$AC$1+Data!AC$1*10+Data!$AC3*100+Data!AC3*1000</f>
        <v>7711</v>
      </c>
      <c r="E2">
        <f>Data!$AC$1+Data!AD$1*10+Data!$AC3*100+Data!AD3*1000</f>
        <v>8721</v>
      </c>
      <c r="F2">
        <f>Data!$AC$1+Data!AE$1*10+Data!$AC3*100+Data!AE3*1000</f>
        <v>9731</v>
      </c>
      <c r="G2">
        <f>SUM(Data!$AC$1:AC2)</f>
        <v>5</v>
      </c>
      <c r="H2">
        <v>40</v>
      </c>
    </row>
    <row r="3" spans="1:8" x14ac:dyDescent="0.2">
      <c r="A3">
        <f>AVERAGE(Jan:Mar!B2)</f>
        <v>37</v>
      </c>
      <c r="C3">
        <f>Data!A3*2</f>
        <v>8</v>
      </c>
      <c r="D3">
        <f>Data!$AC$1+Data!AC$1*10+Data!$AC4*100+Data!AC4*1000</f>
        <v>11011</v>
      </c>
      <c r="E3">
        <f>Data!$AC$1+Data!AD$1*10+Data!$AC4*100+Data!AD4*1000</f>
        <v>12021</v>
      </c>
      <c r="F3">
        <f>Data!$AC$1+Data!AE$1*10+Data!$AC4*100+Data!AE4*1000</f>
        <v>13031</v>
      </c>
      <c r="G3">
        <f>SUM(Data!$AC$1:AC3)</f>
        <v>12</v>
      </c>
      <c r="H3">
        <v>70</v>
      </c>
    </row>
    <row r="4" spans="1:8" x14ac:dyDescent="0.2">
      <c r="A4">
        <f>COUNT(Jan:Mar!B2:C3)</f>
        <v>11</v>
      </c>
      <c r="C4">
        <f>Data!A4*2</f>
        <v>2</v>
      </c>
      <c r="G4">
        <f>SUM(Data!$AC$1:AC4)</f>
        <v>22</v>
      </c>
    </row>
    <row r="5" spans="1:8" x14ac:dyDescent="0.2">
      <c r="A5">
        <f>COUNTA(Jan:Mar!B2:C3)</f>
        <v>12</v>
      </c>
      <c r="C5">
        <f>Data!A5*2</f>
        <v>10</v>
      </c>
      <c r="H5">
        <f t="array" ref="H5">SUM(Data!A1:A10*Data!B1:B10)</f>
        <v>191</v>
      </c>
    </row>
    <row r="6" spans="1:8" x14ac:dyDescent="0.2">
      <c r="A6">
        <f>MAX(Jan:Mar!C3)</f>
        <v>40</v>
      </c>
      <c r="H6">
        <f t="array" ref="H6">MAX(IF(Data!A1:A10&lt;5,Data!A1:A10))</f>
        <v>4</v>
      </c>
    </row>
    <row r="7" spans="1:8" x14ac:dyDescent="0.2">
      <c r="A7">
        <f>MIN(Jan:Mar!B2:C3)</f>
        <v>1</v>
      </c>
      <c r="H7">
        <f t="array" ref="H7">SUM(IF(Data!A1:A10&gt;3,1,0))</f>
        <v>5</v>
      </c>
    </row>
    <row r="8" spans="1:8" x14ac:dyDescent="0.2">
      <c r="A8">
        <f>PRODUCT(Jan:Feb!B2)</f>
        <v>10</v>
      </c>
    </row>
    <row r="9" spans="1:8" x14ac:dyDescent="0.2">
      <c r="A9">
        <f>SUM(Feb!B2:B3)</f>
        <v>40</v>
      </c>
    </row>
    <row r="10" spans="1:8" x14ac:dyDescent="0.2">
      <c r="A10">
        <f>STDEV(Jan:Mar!B2)</f>
        <v>54.74486277268398</v>
      </c>
    </row>
    <row r="11" spans="1:8" x14ac:dyDescent="0.2">
      <c r="A11">
        <f>SUM(Jan!B2:C3,Mar!B2)</f>
        <v>110</v>
      </c>
    </row>
    <row r="12" spans="1:8" x14ac:dyDescent="0.2">
      <c r="A12">
        <f>SUM('Jan:Sheet 2'!A1)</f>
        <v>5</v>
      </c>
    </row>
    <row r="13" spans="1:8" x14ac:dyDescent="0.2">
      <c r="A13">
        <f>'Sheet 2'!A1*2</f>
        <v>10</v>
      </c>
    </row>
    <row r="14" spans="1:8" x14ac:dyDescent="0.2">
      <c r="A14" t="str">
        <f>'Sheet 2'!A2&amp;"!"</f>
        <v>five!</v>
      </c>
    </row>
    <row r="15" spans="1:8" x14ac:dyDescent="0.2">
      <c r="A15">
        <f>SUM({1,2,3})</f>
        <v>6</v>
      </c>
    </row>
    <row r="16" spans="1:8" x14ac:dyDescent="0.2">
      <c r="A16">
        <f>SUM({1,2;3,4})</f>
        <v>10</v>
      </c>
    </row>
    <row r="17" spans="1:1" x14ac:dyDescent="0.2">
      <c r="A17" cm="1">
        <f t="array" ref="A17">SUM({1,2;3,4}*{1;2})</f>
        <v>17</v>
      </c>
    </row>
    <row r="18" spans="1:1" x14ac:dyDescent="0.2">
      <c r="A18">
        <f>INDEX({1,2;3,4},2,1)</f>
        <v>3</v>
      </c>
    </row>
    <row r="19" spans="1:1" x14ac:dyDescent="0.2">
      <c r="A19" t="str" cm="1">
        <f t="array" ref="A19">INDEX({"a","b","c"},3)</f>
        <v>c</v>
      </c>
    </row>
    <row r="20" spans="1:1" x14ac:dyDescent="0.2">
      <c r="A20">
        <f>MAX({-1,-5,-3})</f>
        <v>-1</v>
      </c>
    </row>
    <row r="21" spans="1:1" x14ac:dyDescent="0.2">
      <c r="A21" t="e">
        <f>SUM({1,#N/A})</f>
        <v>#N/A</v>
      </c>
    </row>
    <row r="22" spans="1:1" x14ac:dyDescent="0.2">
      <c r="A22" t="b">
        <f>AND({TRUE,FALSE})</f>
        <v>0</v>
      </c>
    </row>
    <row r="23" spans="1:1" x14ac:dyDescent="0.2">
      <c r="A23" t="str">
        <f>_xlfn.CONCAT({"a","b";"c","d"})</f>
        <v>abcd</v>
      </c>
    </row>
    <row r="24" spans="1:1" x14ac:dyDescent="0.2">
      <c r="A24">
        <f>MATCH(3,{1,3,5},0)</f>
        <v>2</v>
      </c>
    </row>
    <row r="25" spans="1:1" x14ac:dyDescent="0.2">
      <c r="A25" t="str">
        <f>VLOOKUP(2,{1,"a";2,"b"},2,FALSE)</f>
        <v>b</v>
      </c>
    </row>
    <row r="26" spans="1:1" x14ac:dyDescent="0.2">
      <c r="A26">
        <f>SUMPRODUCT({1,2},{3,4})</f>
        <v>11</v>
      </c>
    </row>
    <row r="27" spans="1:1" x14ac:dyDescent="0.2">
      <c r="A27">
        <f>COUNTA({1,"",TRUE})</f>
        <v>3</v>
      </c>
    </row>
    <row r="28" spans="1:1" x14ac:dyDescent="0.2">
      <c r="A28">
        <f>AVERAGE({1,"2",TRUE})</f>
        <v>1</v>
      </c>
    </row>
    <row r="29" spans="1:1" x14ac:dyDescent="0.2">
      <c r="A29">
        <f>SUM({"1",2})</f>
        <v>2</v>
      </c>
    </row>
    <row r="30" spans="1:1" x14ac:dyDescent="0.2">
      <c r="A30">
        <f>SUM({1.5,-0.5})</f>
        <v>1</v>
      </c>
    </row>
    <row r="31" spans="1:1" x14ac:dyDescent="0.2">
      <c r="A31" cm="1">
        <f t="array" ref="A31">SUM({1,2,3}*2)</f>
        <v>12</v>
      </c>
    </row>
    <row r="32" spans="1:1" x14ac:dyDescent="0.2">
      <c r="A32" cm="1">
        <f t="array" ref="A32">INDEX({1;2;3}+{10,20},3,2)</f>
        <v>23</v>
      </c>
    </row>
    <row r="33" spans="1:1" x14ac:dyDescent="0.2">
      <c r="A33" t="e" cm="1">
        <f t="array" ref="A33">SUM({1,2}+{1,2,3})</f>
        <v>#N/A</v>
      </c>
    </row>
    <row r="34" spans="1:1" x14ac:dyDescent="0.2">
      <c r="A34">
        <f>SUM(Data!Z:Z)</f>
        <v>6</v>
      </c>
    </row>
    <row r="35" spans="1:1" x14ac:dyDescent="0.2">
      <c r="A35">
        <f>COUNT(Data!Z:Z)</f>
        <v>3</v>
      </c>
    </row>
    <row r="36" spans="1:1" x14ac:dyDescent="0.2">
      <c r="A36">
        <f>ROWS(Data!Z:Z)</f>
        <v>1048576</v>
      </c>
    </row>
    <row r="37" spans="1:1" x14ac:dyDescent="0.2">
      <c r="A37">
        <f>SUM(Data!20:20)</f>
        <v>15</v>
      </c>
    </row>
    <row r="38" spans="1:1" x14ac:dyDescent="0.2">
      <c r="A38">
        <f>COLUMNS(Data!20:20)</f>
        <v>16384</v>
      </c>
    </row>
    <row r="39" spans="1:1" x14ac:dyDescent="0.2">
      <c r="A39" cm="1">
        <f t="array" ref="A39">Data!AC2:AE2 Data!AD1:AD4</f>
        <v>5</v>
      </c>
    </row>
    <row r="40" spans="1:1" x14ac:dyDescent="0.2">
      <c r="A40">
        <f>SUM((Data!AC1:AC2,Data!AE3:AE4))</f>
        <v>26</v>
      </c>
    </row>
    <row r="41" spans="1:1" x14ac:dyDescent="0.2">
      <c r="A41">
        <f>SUM(Data!AC1:AE4)</f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38C3-C6D7-474B-8BF4-ABD74D28DBF5}">
  <dimension ref="A1:AE20"/>
  <sheetViews>
    <sheetView workbookViewId="0"/>
  </sheetViews>
  <sheetFormatPr baseColWidth="10" defaultRowHeight="16" x14ac:dyDescent="0.2"/>
  <sheetData>
    <row r="1" spans="1:31" x14ac:dyDescent="0.2">
      <c r="A1">
        <v>3</v>
      </c>
      <c r="B1">
        <v>2</v>
      </c>
      <c r="Z1">
        <v>1</v>
      </c>
      <c r="AC1">
        <v>1</v>
      </c>
      <c r="AD1">
        <v>2</v>
      </c>
      <c r="AE1">
        <v>3</v>
      </c>
    </row>
    <row r="2" spans="1:31" x14ac:dyDescent="0.2">
      <c r="A2">
        <v>1</v>
      </c>
      <c r="B2">
        <v>7</v>
      </c>
      <c r="Z2">
        <v>2</v>
      </c>
      <c r="AC2">
        <v>4</v>
      </c>
      <c r="AD2">
        <v>5</v>
      </c>
      <c r="AE2">
        <v>6</v>
      </c>
    </row>
    <row r="3" spans="1:31" x14ac:dyDescent="0.2">
      <c r="A3">
        <v>4</v>
      </c>
      <c r="B3">
        <v>1</v>
      </c>
      <c r="Z3">
        <v>3</v>
      </c>
      <c r="AC3">
        <v>7</v>
      </c>
      <c r="AD3">
        <v>8</v>
      </c>
      <c r="AE3">
        <v>9</v>
      </c>
    </row>
    <row r="4" spans="1:31" x14ac:dyDescent="0.2">
      <c r="A4">
        <v>1</v>
      </c>
      <c r="B4">
        <v>8</v>
      </c>
      <c r="AC4">
        <v>10</v>
      </c>
      <c r="AD4">
        <v>11</v>
      </c>
      <c r="AE4">
        <v>12</v>
      </c>
    </row>
    <row r="5" spans="1:31" x14ac:dyDescent="0.2">
      <c r="A5">
        <v>5</v>
      </c>
      <c r="B5">
        <v>2</v>
      </c>
    </row>
    <row r="6" spans="1:31" x14ac:dyDescent="0.2">
      <c r="A6">
        <v>9</v>
      </c>
      <c r="B6">
        <v>8</v>
      </c>
    </row>
    <row r="7" spans="1:31" x14ac:dyDescent="0.2">
      <c r="A7">
        <v>2</v>
      </c>
      <c r="B7">
        <v>1</v>
      </c>
    </row>
    <row r="8" spans="1:31" x14ac:dyDescent="0.2">
      <c r="A8">
        <v>6</v>
      </c>
      <c r="B8">
        <v>8</v>
      </c>
    </row>
    <row r="9" spans="1:31" x14ac:dyDescent="0.2">
      <c r="A9">
        <v>5</v>
      </c>
      <c r="B9">
        <v>2</v>
      </c>
    </row>
    <row r="10" spans="1:31" x14ac:dyDescent="0.2">
      <c r="A10">
        <v>3</v>
      </c>
      <c r="B10">
        <v>8</v>
      </c>
    </row>
    <row r="20" spans="1:5" x14ac:dyDescent="0.2">
      <c r="A20">
        <v>1</v>
      </c>
      <c r="B20">
        <v>2</v>
      </c>
      <c r="C20">
        <v>3</v>
      </c>
      <c r="D20">
        <v>4</v>
      </c>
      <c r="E2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F889-4CE6-A241-8AB4-10007669A457}">
  <dimension ref="B2:C3"/>
  <sheetViews>
    <sheetView workbookViewId="0"/>
  </sheetViews>
  <sheetFormatPr baseColWidth="10" defaultRowHeight="16" x14ac:dyDescent="0.2"/>
  <sheetData>
    <row r="2" spans="2:3" x14ac:dyDescent="0.2">
      <c r="B2">
        <v>1</v>
      </c>
      <c r="C2">
        <v>2</v>
      </c>
    </row>
    <row r="3" spans="2:3" x14ac:dyDescent="0.2">
      <c r="B3">
        <v>3</v>
      </c>
      <c r="C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76F4-A829-2E44-BA1A-78227169B99C}">
  <dimension ref="B2:C3"/>
  <sheetViews>
    <sheetView workbookViewId="0"/>
  </sheetViews>
  <sheetFormatPr baseColWidth="10" defaultRowHeight="16" x14ac:dyDescent="0.2"/>
  <sheetData>
    <row r="2" spans="2:3" x14ac:dyDescent="0.2">
      <c r="B2">
        <v>10</v>
      </c>
      <c r="C2">
        <v>20</v>
      </c>
    </row>
    <row r="3" spans="2:3" x14ac:dyDescent="0.2">
      <c r="B3">
        <v>30</v>
      </c>
      <c r="C3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AFAF-C311-A34A-B3AC-A3C3A16A5E0E}">
  <dimension ref="B2:C3"/>
  <sheetViews>
    <sheetView workbookViewId="0"/>
  </sheetViews>
  <sheetFormatPr baseColWidth="10" defaultRowHeight="16" x14ac:dyDescent="0.2"/>
  <sheetData>
    <row r="2" spans="2:3" x14ac:dyDescent="0.2">
      <c r="B2">
        <v>100</v>
      </c>
      <c r="C2">
        <v>200</v>
      </c>
    </row>
    <row r="3" spans="2:3" x14ac:dyDescent="0.2">
      <c r="B3">
        <v>300</v>
      </c>
      <c r="C3" s="1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E3EF-E7F1-9741-94FD-4B80ECA8FC2D}">
  <dimension ref="A1:A2"/>
  <sheetViews>
    <sheetView tabSelected="1" workbookViewId="0"/>
  </sheetViews>
  <sheetFormatPr baseColWidth="10" defaultRowHeight="16" x14ac:dyDescent="0.2"/>
  <sheetData>
    <row r="1" spans="1:1" x14ac:dyDescent="0.2">
      <c r="A1">
        <v>5</v>
      </c>
    </row>
    <row r="2" spans="1:1" x14ac:dyDescent="0.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Cases</vt:lpstr>
      <vt:lpstr>Data</vt:lpstr>
      <vt:lpstr>Jan</vt:lpstr>
      <vt:lpstr>Feb</vt:lpstr>
      <vt:lpstr>Mar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2026-10-30T04:44:31Z</dcterms:created>
  <dcterms:modified xsi:type="dcterms:W3CDTF">2026-10-30T04:44:34Z</dcterms:modified>
</cp:coreProperties>
</file>