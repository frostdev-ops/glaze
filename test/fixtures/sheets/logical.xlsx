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filterPrivacy="1" defaultThemeVersion="202300"/>
  <xr:revisionPtr revIDLastSave="0" documentId="8_{AD6C17BB-84A2-B649-A010-92F9CE6A3D77}" xr6:coauthVersionLast="47" xr6:coauthVersionMax="47" xr10:uidLastSave="{00000000-0000-0000-0000-000000000000}"/>
  <bookViews>
    <workbookView xWindow="3980" yWindow="2780" windowWidth="28040" windowHeight="17180" activeTab="1" xr2:uid="{77D7DDB6-8123-DF48-A3B5-A0E64F6DF0B1}"/>
  </bookViews>
  <sheets>
    <sheet name="Case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5" i="1" l="1"/>
  <c r="A54" i="1"/>
  <c r="A53" i="1"/>
  <c r="A52" i="1"/>
  <c r="A51" i="1"/>
  <c r="A50" i="1"/>
  <c r="A49" i="1" a="1"/>
  <c r="A48" i="1" a="1"/>
  <c r="A47" i="1" a="1"/>
  <c r="A46" i="1" a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 a="1"/>
  <c r="A12" i="1" a="1"/>
  <c r="A11" i="1" a="1"/>
  <c r="A10" i="1"/>
  <c r="A9" i="1"/>
  <c r="A8" i="1"/>
  <c r="A7" i="1"/>
  <c r="A6" i="1"/>
  <c r="A5" i="1"/>
  <c r="A4" i="1"/>
  <c r="A3" i="1"/>
  <c r="A2" i="1"/>
  <c r="A1" i="1"/>
  <c r="H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<sst xmlns="http://schemas.openxmlformats.org/spreadsheetml/2006/main" count="10" uniqueCount="10">
  <si>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 xml:space="preserve"> </t>
  </si>
  <si>
    <t>text</t>
  </si>
  <si>
    <t>5</t>
  </si>
  <si>
    <t>apple</t>
  </si>
  <si>
    <t>Banana</t>
  </si>
  <si>
    <t>cherry</t>
  </si>
  <si>
    <t>apple pie</t>
  </si>
  <si>
    <t>date</t>
  </si>
  <si>
    <t>Apple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</si>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</sst>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A030-723E-BF4C-BAAC-48B4B8F578FF}">
  <dimension ref="A1:A55"/>
  <sheetViews>
    <sheetView workbookViewId="0"/>
  </sheetViews>
  <sheetFormatPr baseColWidth="10" defaultRowHeight="16" x14ac:dyDescent="0.2"/>
  <cols>
    <col min="1" max="1" width="80.83203125" customWidth="1"/>
  </cols>
  <sheetData>
    <row r="1" spans="1:1" x14ac:dyDescent="0.2">
      <c r="A1">
        <f>IF(TRUE,1,2)</f>
        <v>1</v>
      </c>
    </row>
    <row r="2" spans="1:1" x14ac:dyDescent="0.2">
      <c r="A2" t="str">
        <f>IF(0,"yes","no")</f>
        <v>no</v>
      </c>
    </row>
    <row r="3" spans="1:1" x14ac:dyDescent="0.2">
      <c r="A3">
        <f>IF("TRUE",1,2)</f>
        <v>1</v>
      </c>
    </row>
    <row r="4" spans="1:1" x14ac:dyDescent="0.2">
      <c r="A4" t="e">
        <f>IF("x",1,2)</f>
        <v>#VALUE!</v>
      </c>
    </row>
    <row r="5" spans="1:1" x14ac:dyDescent="0.2">
      <c r="A5">
        <f>IF(Data!H1,1,2)</f>
        <v>2</v>
      </c>
    </row>
    <row r="6" spans="1:1" x14ac:dyDescent="0.2">
      <c r="A6" t="b">
        <f>IF(1&gt;2,1)</f>
        <v>0</v>
      </c>
    </row>
    <row r="7" spans="1:1" x14ac:dyDescent="0.2">
      <c r="A7">
        <f>IF(1&lt;2,,"no")</f>
        <v>0</v>
      </c>
    </row>
    <row r="8" spans="1:1" x14ac:dyDescent="0.2">
      <c r="A8" t="e">
        <f>IF(Data!G1,1,2)</f>
        <v>#N/A</v>
      </c>
    </row>
    <row r="9" spans="1:1" x14ac:dyDescent="0.2">
      <c r="A9" t="str">
        <f>IF(Data!A1&gt;3,"big","small")</f>
        <v>small</v>
      </c>
    </row>
    <row r="10" spans="1:1" x14ac:dyDescent="0.2">
      <c r="A10">
        <f>IF(TRUE,1,1/0)</f>
        <v>1</v>
      </c>
    </row>
    <row r="11" spans="1:1" x14ac:dyDescent="0.2">
      <c r="A11" t="str" cm="1">
        <f t="array" ref="A11">_xlfn.IFS(1&gt;2,"a",2&gt;1,"b")</f>
        <v>b</v>
      </c>
    </row>
    <row r="12" spans="1:1" x14ac:dyDescent="0.2">
      <c r="A12" t="e" cm="1">
        <f t="array" ref="A12">_xlfn.IFS(FALSE,1)</f>
        <v>#N/A</v>
      </c>
    </row>
    <row r="13" spans="1:1" x14ac:dyDescent="0.2">
      <c r="A13" t="str" cm="1">
        <f t="array" ref="A13">_xlfn.IFS(Data!A1=3,"three",TRUE,"other")</f>
        <v>three</v>
      </c>
    </row>
    <row r="14" spans="1:1" x14ac:dyDescent="0.2">
      <c r="A14" t="b">
        <f>AND(TRUE,TRUE)</f>
        <v>1</v>
      </c>
    </row>
    <row r="15" spans="1:1" x14ac:dyDescent="0.2">
      <c r="A15" t="b">
        <f>AND(TRUE,FALSE)</f>
        <v>0</v>
      </c>
    </row>
    <row r="16" spans="1:1" x14ac:dyDescent="0.2">
      <c r="A16" t="b">
        <f>AND(1,2)</f>
        <v>1</v>
      </c>
    </row>
    <row r="17" spans="1:1" x14ac:dyDescent="0.2">
      <c r="A17" t="b">
        <f>AND(0,1)</f>
        <v>0</v>
      </c>
    </row>
    <row r="18" spans="1:1" x14ac:dyDescent="0.2">
      <c r="A18" t="b">
        <f>AND(Data!C1:C8)</f>
        <v>0</v>
      </c>
    </row>
    <row r="19" spans="1:1" x14ac:dyDescent="0.2">
      <c r="A19" t="e">
        <f>AND(Data!E1:E3)</f>
        <v>#VALUE!</v>
      </c>
    </row>
    <row r="20" spans="1:1" x14ac:dyDescent="0.2">
      <c r="A20" t="e">
        <f>AND(Data!H1)</f>
        <v>#VALUE!</v>
      </c>
    </row>
    <row r="21" spans="1:1" x14ac:dyDescent="0.2">
      <c r="A21" t="b">
        <f>AND("TRUE",TRUE)</f>
        <v>1</v>
      </c>
    </row>
    <row r="22" spans="1:1" x14ac:dyDescent="0.2">
      <c r="A22" t="b">
        <f>AND({TRUE,FALSE})</f>
        <v>0</v>
      </c>
    </row>
    <row r="23" spans="1:1" x14ac:dyDescent="0.2">
      <c r="A23" t="b">
        <f>AND(Data!I1:I4)</f>
        <v>0</v>
      </c>
    </row>
    <row r="24" spans="1:1" x14ac:dyDescent="0.2">
      <c r="A24" t="e">
        <f>AND(Data!G1,FALSE)</f>
        <v>#N/A</v>
      </c>
    </row>
    <row r="25" spans="1:1" x14ac:dyDescent="0.2">
      <c r="A25" t="b">
        <f>OR(FALSE,FALSE)</f>
        <v>0</v>
      </c>
    </row>
    <row r="26" spans="1:1" x14ac:dyDescent="0.2">
      <c r="A26" t="b">
        <f>OR(FALSE,1)</f>
        <v>1</v>
      </c>
    </row>
    <row r="27" spans="1:1" x14ac:dyDescent="0.2">
      <c r="A27" t="b">
        <f>OR(Data!I1:I4)</f>
        <v>1</v>
      </c>
    </row>
    <row r="28" spans="1:1" x14ac:dyDescent="0.2">
      <c r="A28" t="e">
        <f>OR(Data!E1:E3)</f>
        <v>#VALUE!</v>
      </c>
    </row>
    <row r="29" spans="1:1" x14ac:dyDescent="0.2">
      <c r="A29" t="e">
        <f>OR(Data!G1,TRUE)</f>
        <v>#N/A</v>
      </c>
    </row>
    <row r="30" spans="1:1" x14ac:dyDescent="0.2">
      <c r="A30" t="b">
        <f>_xlfn.XOR(TRUE,TRUE)</f>
        <v>0</v>
      </c>
    </row>
    <row r="31" spans="1:1" x14ac:dyDescent="0.2">
      <c r="A31" t="b">
        <f>_xlfn.XOR(TRUE,FALSE,TRUE)</f>
        <v>0</v>
      </c>
    </row>
    <row r="32" spans="1:1" x14ac:dyDescent="0.2">
      <c r="A32" t="b">
        <f>_xlfn.XOR(Data!I1:I4)</f>
        <v>0</v>
      </c>
    </row>
    <row r="33" spans="1:1" x14ac:dyDescent="0.2">
      <c r="A33" t="b">
        <f>NOT(TRUE)</f>
        <v>0</v>
      </c>
    </row>
    <row r="34" spans="1:1" x14ac:dyDescent="0.2">
      <c r="A34" t="b">
        <f>NOT(0)</f>
        <v>1</v>
      </c>
    </row>
    <row r="35" spans="1:1" x14ac:dyDescent="0.2">
      <c r="A35" t="b">
        <f>NOT(Data!H1)</f>
        <v>1</v>
      </c>
    </row>
    <row r="36" spans="1:1" x14ac:dyDescent="0.2">
      <c r="A36" t="e">
        <f>NOT("x")</f>
        <v>#VALUE!</v>
      </c>
    </row>
    <row r="37" spans="1:1" x14ac:dyDescent="0.2">
      <c r="A37" t="b">
        <f>NOT(2)</f>
        <v>0</v>
      </c>
    </row>
    <row r="38" spans="1:1" x14ac:dyDescent="0.2">
      <c r="A38" t="b">
        <f>TRUE()</f>
        <v>1</v>
      </c>
    </row>
    <row r="39" spans="1:1" x14ac:dyDescent="0.2">
      <c r="A39" t="b">
        <f>FALSE()</f>
        <v>0</v>
      </c>
    </row>
    <row r="40" spans="1:1" x14ac:dyDescent="0.2">
      <c r="A40" t="str">
        <f>IFERROR(1/0,"div")</f>
        <v>div</v>
      </c>
    </row>
    <row r="41" spans="1:1" x14ac:dyDescent="0.2">
      <c r="A41">
        <f>IFERROR(5,"x")</f>
        <v>5</v>
      </c>
    </row>
    <row r="42" spans="1:1" x14ac:dyDescent="0.2">
      <c r="A42" t="str">
        <f>IFERROR(Data!G1,"na")</f>
        <v>na</v>
      </c>
    </row>
    <row r="43" spans="1:1" x14ac:dyDescent="0.2">
      <c r="A43">
        <f>IFERROR(Data!H1,"x")</f>
        <v>0</v>
      </c>
    </row>
    <row r="44" spans="1:1" x14ac:dyDescent="0.2">
      <c r="A44" t="str">
        <f>_xlfn.IFNA(Data!G1,"na")</f>
        <v>na</v>
      </c>
    </row>
    <row r="45" spans="1:1" x14ac:dyDescent="0.2">
      <c r="A45" t="e">
        <f>_xlfn.IFNA(Data!G2,"na")</f>
        <v>#DIV/0!</v>
      </c>
    </row>
    <row r="46" spans="1:1" x14ac:dyDescent="0.2">
      <c r="A46" t="str" cm="1">
        <f t="array" ref="A46">_xlfn.SWITCH(2,1,"one",2,"two")</f>
        <v>two</v>
      </c>
    </row>
    <row r="47" spans="1:1" x14ac:dyDescent="0.2">
      <c r="A47" t="e" cm="1">
        <f t="array" ref="A47">_xlfn.SWITCH(3,1,"one",2,"two")</f>
        <v>#N/A</v>
      </c>
    </row>
    <row r="48" spans="1:1" x14ac:dyDescent="0.2">
      <c r="A48" t="str" cm="1">
        <f t="array" ref="A48">_xlfn.SWITCH(3,1,"one","default")</f>
        <v>default</v>
      </c>
    </row>
    <row r="49" spans="1:1" x14ac:dyDescent="0.2">
      <c r="A49" cm="1">
        <f t="array" ref="A49">_xlfn.SWITCH("b","a",1,"B",2)</f>
        <v>2</v>
      </c>
    </row>
    <row r="50" spans="1:1" x14ac:dyDescent="0.2">
      <c r="A50" t="str">
        <f>CHOOSE(2,"a","b","c")</f>
        <v>b</v>
      </c>
    </row>
    <row r="51" spans="1:1" x14ac:dyDescent="0.2">
      <c r="A51" t="e">
        <f>CHOOSE(4,"a","b")</f>
        <v>#VALUE!</v>
      </c>
    </row>
    <row r="52" spans="1:1" x14ac:dyDescent="0.2">
      <c r="A52" t="str">
        <f>CHOOSE(2.9,"a","b","c")</f>
        <v>b</v>
      </c>
    </row>
    <row r="53" spans="1:1" x14ac:dyDescent="0.2">
      <c r="A53" t="e">
        <f>CHOOSE(0,"a")</f>
        <v>#VALUE!</v>
      </c>
    </row>
    <row r="54" spans="1:1" x14ac:dyDescent="0.2">
      <c r="A54">
        <f>_xlfn.LET(_xlpm.x,2,_xlpm.y,_xlpm.x*3,_xlpm.x+_xlpm.y)</f>
        <v>8</v>
      </c>
    </row>
    <row r="55" spans="1:1" x14ac:dyDescent="0.2">
      <c r="A55">
        <f>_xlfn.LET(_xlpm.a,Data!A1,_xlpm.a*_xlpm.a)</f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D35EB-9C8E-A14C-AB73-31626D9BEC27}">
  <dimension ref="A1:I10"/>
  <sheetViews>
    <sheetView tabSelected="1" workbookViewId="0"/>
  </sheetViews>
  <sheetFormatPr baseColWidth="10" defaultRowHeight="16" x14ac:dyDescent="0.2"/>
  <sheetData>
    <row r="1" spans="1:9" x14ac:dyDescent="0.2">
      <c r="A1">
        <v>3</v>
      </c>
      <c r="C1">
        <v>10</v>
      </c>
      <c r="E1" s="1" t="s">
        <v>3</v>
      </c>
      <c r="G1" t="e">
        <v>#N/A</v>
      </c>
      <c r="I1" t="b">
        <v>1</v>
      </c>
    </row>
    <row r="2" spans="1:9" x14ac:dyDescent="0.2">
      <c r="A2">
        <v>1</v>
      </c>
      <c r="C2" s="1" t="s">
        <v>1</v>
      </c>
      <c r="E2" s="1" t="s">
        <v>4</v>
      </c>
      <c r="G2" t="e">
        <v>#DIV/0!</v>
      </c>
      <c r="H2" t="str">
        <f>""</f>
        <v/>
      </c>
      <c r="I2" t="b">
        <v>0</v>
      </c>
    </row>
    <row r="3" spans="1:9" x14ac:dyDescent="0.2">
      <c r="A3">
        <v>4</v>
      </c>
      <c r="C3" t="b">
        <v>1</v>
      </c>
      <c r="E3" s="1" t="s">
        <v>5</v>
      </c>
      <c r="G3">
        <v>7</v>
      </c>
      <c r="H3" s="1" t="s">
        <v>0</v>
      </c>
      <c r="I3" t="b">
        <v>1</v>
      </c>
    </row>
    <row r="4" spans="1:9" x14ac:dyDescent="0.2">
      <c r="A4">
        <v>1</v>
      </c>
      <c r="E4" s="1" t="s">
        <v>6</v>
      </c>
      <c r="H4">
        <v>0</v>
      </c>
      <c r="I4" s="1" t="s">
        <v>9</v>
      </c>
    </row>
    <row r="5" spans="1:9" x14ac:dyDescent="0.2">
      <c r="A5">
        <v>5</v>
      </c>
      <c r="C5">
        <v>20</v>
      </c>
      <c r="E5" s="1" t="s">
        <v>7</v>
      </c>
    </row>
    <row r="6" spans="1:9" x14ac:dyDescent="0.2">
      <c r="A6">
        <v>9</v>
      </c>
      <c r="C6" s="1" t="s">
        <v>2</v>
      </c>
      <c r="E6" s="1" t="s">
        <v>8</v>
      </c>
    </row>
    <row r="7" spans="1:9" x14ac:dyDescent="0.2">
      <c r="A7">
        <v>2</v>
      </c>
      <c r="C7" t="b">
        <v>0</v>
      </c>
    </row>
    <row r="8" spans="1:9" x14ac:dyDescent="0.2">
      <c r="A8">
        <v>6</v>
      </c>
      <c r="C8">
        <v>30</v>
      </c>
    </row>
    <row r="9" spans="1:9" x14ac:dyDescent="0.2">
      <c r="A9">
        <v>5</v>
      </c>
    </row>
    <row r="10" spans="1:9" x14ac:dyDescent="0.2">
      <c r="A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2026-10-30T04:44:04Z</dcterms:created>
  <dcterms:modified xsi:type="dcterms:W3CDTF">2026-10-30T04:44:06Z</dcterms:modified>
</cp:coreProperties>
</file>