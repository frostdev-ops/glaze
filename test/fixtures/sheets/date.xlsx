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filterPrivacy="1" defaultThemeVersion="202300"/>
  <xr:revisionPtr revIDLastSave="0" documentId="8_{845DA6BB-A824-3A45-85AC-72EF218C3FA1}" xr6:coauthVersionLast="47" xr6:coauthVersionMax="47" xr10:uidLastSave="{00000000-0000-0000-0000-000000000000}"/>
  <bookViews>
    <workbookView xWindow="3980" yWindow="2780" windowWidth="28040" windowHeight="17180" activeTab="1" xr2:uid="{B2A67DB6-9A1B-8948-A15A-A43FE5DC420B}"/>
  </bookViews>
  <sheets>
    <sheet name="Case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53" i="1" l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211C-91F7-D046-8F1E-B7134EBBAE55}">
  <dimension ref="A1:A153"/>
  <sheetViews>
    <sheetView workbookViewId="0"/>
  </sheetViews>
  <sheetFormatPr baseColWidth="10" defaultRowHeight="16" x14ac:dyDescent="0.2"/>
  <cols>
    <col min="1" max="1" width="80.83203125" customWidth="1"/>
  </cols>
  <sheetData>
    <row r="1" spans="1:1" x14ac:dyDescent="0.2">
      <c r="A1" s="1">
        <f>DATE(2025,1,1)</f>
        <v>45658</v>
      </c>
    </row>
    <row r="2" spans="1:1" x14ac:dyDescent="0.2">
      <c r="A2" s="1">
        <f>DATE(2025,13,1)</f>
        <v>46023</v>
      </c>
    </row>
    <row r="3" spans="1:1" x14ac:dyDescent="0.2">
      <c r="A3" s="1">
        <f>DATE(2025,1,0)</f>
        <v>45657</v>
      </c>
    </row>
    <row r="4" spans="1:1" x14ac:dyDescent="0.2">
      <c r="A4" s="1">
        <f>DATE(2025,0,1)</f>
        <v>45627</v>
      </c>
    </row>
    <row r="5" spans="1:1" x14ac:dyDescent="0.2">
      <c r="A5" s="1">
        <f>DATE(2025,-1,15)</f>
        <v>45611</v>
      </c>
    </row>
    <row r="6" spans="1:1" x14ac:dyDescent="0.2">
      <c r="A6" s="1">
        <f>DATE(2025,1,-1)</f>
        <v>45656</v>
      </c>
    </row>
    <row r="7" spans="1:1" x14ac:dyDescent="0.2">
      <c r="A7" s="1">
        <f>DATE(2025,2,29)</f>
        <v>45717</v>
      </c>
    </row>
    <row r="8" spans="1:1" x14ac:dyDescent="0.2">
      <c r="A8" s="1">
        <f>DATE(2024,2,29)</f>
        <v>45351</v>
      </c>
    </row>
    <row r="9" spans="1:1" x14ac:dyDescent="0.2">
      <c r="A9" s="1">
        <f>DATE(99,1,1)</f>
        <v>36161</v>
      </c>
    </row>
    <row r="10" spans="1:1" x14ac:dyDescent="0.2">
      <c r="A10" s="1">
        <f>DATE(1899,12,31)</f>
        <v>693962</v>
      </c>
    </row>
    <row r="11" spans="1:1" x14ac:dyDescent="0.2">
      <c r="A11" s="1">
        <f>DATE(1900,1,1)</f>
        <v>1</v>
      </c>
    </row>
    <row r="12" spans="1:1" x14ac:dyDescent="0.2">
      <c r="A12" s="1">
        <f>DATE(1900,2,28)</f>
        <v>59</v>
      </c>
    </row>
    <row r="13" spans="1:1" x14ac:dyDescent="0.2">
      <c r="A13" s="1">
        <f>DATE(1900,2,29)</f>
        <v>60</v>
      </c>
    </row>
    <row r="14" spans="1:1" x14ac:dyDescent="0.2">
      <c r="A14" s="1">
        <f>DATE(1900,3,1)</f>
        <v>61</v>
      </c>
    </row>
    <row r="15" spans="1:1" x14ac:dyDescent="0.2">
      <c r="A15" s="1">
        <f>DATE(1900,1,0)</f>
        <v>0</v>
      </c>
    </row>
    <row r="16" spans="1:1" x14ac:dyDescent="0.2">
      <c r="A16" s="1" t="e">
        <f>DATE(-1,1,1)</f>
        <v>#NUM!</v>
      </c>
    </row>
    <row r="17" spans="1:1" x14ac:dyDescent="0.2">
      <c r="A17" s="1" t="e">
        <f>DATE(10000,1,1)</f>
        <v>#NUM!</v>
      </c>
    </row>
    <row r="18" spans="1:1" x14ac:dyDescent="0.2">
      <c r="A18" s="1">
        <f>DATE(9999,12,31)</f>
        <v>2958465</v>
      </c>
    </row>
    <row r="19" spans="1:1" x14ac:dyDescent="0.2">
      <c r="A19" s="1">
        <f>DATE(2025.9,1.9,1.9)</f>
        <v>45658</v>
      </c>
    </row>
    <row r="20" spans="1:1" x14ac:dyDescent="0.2">
      <c r="A20">
        <f>DATE(1900,3,1)-DATE(1900,2,28)</f>
        <v>2</v>
      </c>
    </row>
    <row r="21" spans="1:1" x14ac:dyDescent="0.2">
      <c r="A21" s="2">
        <f>TIME(12,30,0)</f>
        <v>0.52083333333333337</v>
      </c>
    </row>
    <row r="22" spans="1:1" x14ac:dyDescent="0.2">
      <c r="A22" s="2">
        <f>TIME(25,0,0)</f>
        <v>4.1666666666666741E-2</v>
      </c>
    </row>
    <row r="23" spans="1:1" x14ac:dyDescent="0.2">
      <c r="A23" s="2">
        <f>TIME(0,90,0)</f>
        <v>6.25E-2</v>
      </c>
    </row>
    <row r="24" spans="1:1" x14ac:dyDescent="0.2">
      <c r="A24" s="2">
        <f>TIME(23,59,59)</f>
        <v>0.99998842592592596</v>
      </c>
    </row>
    <row r="25" spans="1:1" x14ac:dyDescent="0.2">
      <c r="A25" s="2" t="e">
        <f>TIME(0,0,-1)</f>
        <v>#NUM!</v>
      </c>
    </row>
    <row r="26" spans="1:1" x14ac:dyDescent="0.2">
      <c r="A26">
        <f>YEAR(45306)</f>
        <v>2024</v>
      </c>
    </row>
    <row r="27" spans="1:1" x14ac:dyDescent="0.2">
      <c r="A27">
        <f>MONTH(45351)</f>
        <v>2</v>
      </c>
    </row>
    <row r="28" spans="1:1" x14ac:dyDescent="0.2">
      <c r="A28">
        <f>DAY(45351)</f>
        <v>29</v>
      </c>
    </row>
    <row r="29" spans="1:1" x14ac:dyDescent="0.2">
      <c r="A29">
        <f>YEAR(0)</f>
        <v>1900</v>
      </c>
    </row>
    <row r="30" spans="1:1" x14ac:dyDescent="0.2">
      <c r="A30">
        <f>MONTH(0)</f>
        <v>1</v>
      </c>
    </row>
    <row r="31" spans="1:1" x14ac:dyDescent="0.2">
      <c r="A31">
        <f>DAY(0)</f>
        <v>0</v>
      </c>
    </row>
    <row r="32" spans="1:1" x14ac:dyDescent="0.2">
      <c r="A32">
        <f>DAY(60)</f>
        <v>29</v>
      </c>
    </row>
    <row r="33" spans="1:1" x14ac:dyDescent="0.2">
      <c r="A33">
        <f>MONTH(60)</f>
        <v>2</v>
      </c>
    </row>
    <row r="34" spans="1:1" x14ac:dyDescent="0.2">
      <c r="A34">
        <f>DAY(61)</f>
        <v>1</v>
      </c>
    </row>
    <row r="35" spans="1:1" x14ac:dyDescent="0.2">
      <c r="A35">
        <f>YEAR(2958465)</f>
        <v>9999</v>
      </c>
    </row>
    <row r="36" spans="1:1" x14ac:dyDescent="0.2">
      <c r="A36" t="e">
        <f>YEAR(2958466)</f>
        <v>#NUM!</v>
      </c>
    </row>
    <row r="37" spans="1:1" x14ac:dyDescent="0.2">
      <c r="A37" t="e">
        <f>YEAR(-1)</f>
        <v>#NUM!</v>
      </c>
    </row>
    <row r="38" spans="1:1" x14ac:dyDescent="0.2">
      <c r="A38">
        <f>YEAR("2025-03-01")</f>
        <v>2025</v>
      </c>
    </row>
    <row r="39" spans="1:1" x14ac:dyDescent="0.2">
      <c r="A39">
        <f>MONTH("Mar 1, 2025")</f>
        <v>3</v>
      </c>
    </row>
    <row r="40" spans="1:1" x14ac:dyDescent="0.2">
      <c r="A40">
        <f>DAY("2025/3/14")</f>
        <v>14</v>
      </c>
    </row>
    <row r="41" spans="1:1" x14ac:dyDescent="0.2">
      <c r="A41">
        <f>HOUR(0.75)</f>
        <v>18</v>
      </c>
    </row>
    <row r="42" spans="1:1" x14ac:dyDescent="0.2">
      <c r="A42">
        <f>HOUR(1.5)</f>
        <v>12</v>
      </c>
    </row>
    <row r="43" spans="1:1" x14ac:dyDescent="0.2">
      <c r="A43">
        <f>HOUR("13:45")</f>
        <v>13</v>
      </c>
    </row>
    <row r="44" spans="1:1" x14ac:dyDescent="0.2">
      <c r="A44">
        <f>MINUTE(0.5104166667)</f>
        <v>15</v>
      </c>
    </row>
    <row r="45" spans="1:1" x14ac:dyDescent="0.2">
      <c r="A45">
        <f>MINUTE("1:59:59 PM")</f>
        <v>59</v>
      </c>
    </row>
    <row r="46" spans="1:1" x14ac:dyDescent="0.2">
      <c r="A46">
        <f>SECOND(TIME(1,2,3))</f>
        <v>3</v>
      </c>
    </row>
    <row r="47" spans="1:1" x14ac:dyDescent="0.2">
      <c r="A47">
        <f>SECOND(0.999999)</f>
        <v>0</v>
      </c>
    </row>
    <row r="48" spans="1:1" x14ac:dyDescent="0.2">
      <c r="A48">
        <f>WEEKDAY(0)</f>
        <v>7</v>
      </c>
    </row>
    <row r="49" spans="1:1" x14ac:dyDescent="0.2">
      <c r="A49">
        <f>WEEKDAY(1)</f>
        <v>1</v>
      </c>
    </row>
    <row r="50" spans="1:1" x14ac:dyDescent="0.2">
      <c r="A50">
        <f>WEEKDAY(59)</f>
        <v>3</v>
      </c>
    </row>
    <row r="51" spans="1:1" x14ac:dyDescent="0.2">
      <c r="A51">
        <f>WEEKDAY(60)</f>
        <v>4</v>
      </c>
    </row>
    <row r="52" spans="1:1" x14ac:dyDescent="0.2">
      <c r="A52">
        <f>WEEKDAY(61)</f>
        <v>5</v>
      </c>
    </row>
    <row r="53" spans="1:1" x14ac:dyDescent="0.2">
      <c r="A53">
        <f>WEEKDAY(45306)</f>
        <v>2</v>
      </c>
    </row>
    <row r="54" spans="1:1" x14ac:dyDescent="0.2">
      <c r="A54">
        <f>WEEKDAY(45306,2)</f>
        <v>1</v>
      </c>
    </row>
    <row r="55" spans="1:1" x14ac:dyDescent="0.2">
      <c r="A55">
        <f>WEEKDAY(45306,3)</f>
        <v>0</v>
      </c>
    </row>
    <row r="56" spans="1:1" x14ac:dyDescent="0.2">
      <c r="A56">
        <f>WEEKDAY(45306,11)</f>
        <v>1</v>
      </c>
    </row>
    <row r="57" spans="1:1" x14ac:dyDescent="0.2">
      <c r="A57">
        <f>WEEKDAY(45306,14)</f>
        <v>5</v>
      </c>
    </row>
    <row r="58" spans="1:1" x14ac:dyDescent="0.2">
      <c r="A58">
        <f>WEEKDAY(45306,17)</f>
        <v>2</v>
      </c>
    </row>
    <row r="59" spans="1:1" x14ac:dyDescent="0.2">
      <c r="A59" t="e">
        <f>WEEKDAY(45306,4)</f>
        <v>#NUM!</v>
      </c>
    </row>
    <row r="60" spans="1:1" x14ac:dyDescent="0.2">
      <c r="A60">
        <f>WEEKNUM(45306)</f>
        <v>3</v>
      </c>
    </row>
    <row r="61" spans="1:1" x14ac:dyDescent="0.2">
      <c r="A61">
        <f>WEEKNUM(45306,2)</f>
        <v>3</v>
      </c>
    </row>
    <row r="62" spans="1:1" x14ac:dyDescent="0.2">
      <c r="A62">
        <f>WEEKNUM(45306,21)</f>
        <v>3</v>
      </c>
    </row>
    <row r="63" spans="1:1" x14ac:dyDescent="0.2">
      <c r="A63">
        <f>WEEKNUM(45292)</f>
        <v>1</v>
      </c>
    </row>
    <row r="64" spans="1:1" x14ac:dyDescent="0.2">
      <c r="A64">
        <f>WEEKNUM(45657)</f>
        <v>53</v>
      </c>
    </row>
    <row r="65" spans="1:1" x14ac:dyDescent="0.2">
      <c r="A65">
        <f>WEEKNUM(60)</f>
        <v>9</v>
      </c>
    </row>
    <row r="66" spans="1:1" x14ac:dyDescent="0.2">
      <c r="A66">
        <f>_xlfn.ISOWEEKNUM(45292)</f>
        <v>1</v>
      </c>
    </row>
    <row r="67" spans="1:1" x14ac:dyDescent="0.2">
      <c r="A67">
        <f>_xlfn.ISOWEEKNUM(45657)</f>
        <v>1</v>
      </c>
    </row>
    <row r="68" spans="1:1" x14ac:dyDescent="0.2">
      <c r="A68">
        <f>_xlfn.ISOWEEKNUM(45658)</f>
        <v>1</v>
      </c>
    </row>
    <row r="69" spans="1:1" x14ac:dyDescent="0.2">
      <c r="A69">
        <f>_xlfn.ISOWEEKNUM(60)</f>
        <v>9</v>
      </c>
    </row>
    <row r="70" spans="1:1" x14ac:dyDescent="0.2">
      <c r="A70">
        <f>EDATE(45322,1)</f>
        <v>45351</v>
      </c>
    </row>
    <row r="71" spans="1:1" x14ac:dyDescent="0.2">
      <c r="A71">
        <f>EDATE(45351,12)</f>
        <v>45716</v>
      </c>
    </row>
    <row r="72" spans="1:1" x14ac:dyDescent="0.2">
      <c r="A72">
        <f>EDATE(45351,-1)</f>
        <v>45320</v>
      </c>
    </row>
    <row r="73" spans="1:1" x14ac:dyDescent="0.2">
      <c r="A73">
        <f>EDATE(59,1)</f>
        <v>88</v>
      </c>
    </row>
    <row r="74" spans="1:1" x14ac:dyDescent="0.2">
      <c r="A74">
        <f>EDATE(45306,0.9)</f>
        <v>45306</v>
      </c>
    </row>
    <row r="75" spans="1:1" x14ac:dyDescent="0.2">
      <c r="A75">
        <f>EOMONTH(45306,0)</f>
        <v>45322</v>
      </c>
    </row>
    <row r="76" spans="1:1" x14ac:dyDescent="0.2">
      <c r="A76">
        <f>EOMONTH(45306,1)</f>
        <v>45351</v>
      </c>
    </row>
    <row r="77" spans="1:1" x14ac:dyDescent="0.2">
      <c r="A77">
        <f>EOMONTH(45306,-1)</f>
        <v>45291</v>
      </c>
    </row>
    <row r="78" spans="1:1" x14ac:dyDescent="0.2">
      <c r="A78">
        <f>EOMONTH(45,0)</f>
        <v>59</v>
      </c>
    </row>
    <row r="79" spans="1:1" x14ac:dyDescent="0.2">
      <c r="A79">
        <f>EOMONTH(31,0)</f>
        <v>31</v>
      </c>
    </row>
    <row r="80" spans="1:1" x14ac:dyDescent="0.2">
      <c r="A80" t="e">
        <f>EOMONTH(45306,-1500)</f>
        <v>#NUM!</v>
      </c>
    </row>
    <row r="81" spans="1:1" x14ac:dyDescent="0.2">
      <c r="A81">
        <f>DATEDIF(45306,45717,"y")</f>
        <v>1</v>
      </c>
    </row>
    <row r="82" spans="1:1" x14ac:dyDescent="0.2">
      <c r="A82">
        <f>DATEDIF(45306,45717,"m")</f>
        <v>13</v>
      </c>
    </row>
    <row r="83" spans="1:1" x14ac:dyDescent="0.2">
      <c r="A83">
        <f>DATEDIF(45306,45717,"d")</f>
        <v>411</v>
      </c>
    </row>
    <row r="84" spans="1:1" x14ac:dyDescent="0.2">
      <c r="A84">
        <f>DATEDIF(45306,45717,"md")</f>
        <v>14</v>
      </c>
    </row>
    <row r="85" spans="1:1" x14ac:dyDescent="0.2">
      <c r="A85">
        <f>DATEDIF(45306,45717,"ym")</f>
        <v>1</v>
      </c>
    </row>
    <row r="86" spans="1:1" x14ac:dyDescent="0.2">
      <c r="A86">
        <f>DATEDIF(45306,45717,"yd")</f>
        <v>45</v>
      </c>
    </row>
    <row r="87" spans="1:1" x14ac:dyDescent="0.2">
      <c r="A87" t="e">
        <f>DATEDIF(45717,45306,"d")</f>
        <v>#NUM!</v>
      </c>
    </row>
    <row r="88" spans="1:1" x14ac:dyDescent="0.2">
      <c r="A88">
        <f>DATEDIF(45351,45716,"y")</f>
        <v>0</v>
      </c>
    </row>
    <row r="89" spans="1:1" x14ac:dyDescent="0.2">
      <c r="A89">
        <f>DATEDIF(45322,45351,"md")</f>
        <v>29</v>
      </c>
    </row>
    <row r="90" spans="1:1" x14ac:dyDescent="0.2">
      <c r="A90">
        <f>DATEDIF(59,61,"d")</f>
        <v>2</v>
      </c>
    </row>
    <row r="91" spans="1:1" x14ac:dyDescent="0.2">
      <c r="A91" t="e">
        <f>DATEDIF(45306,45717,"x")</f>
        <v>#NUM!</v>
      </c>
    </row>
    <row r="92" spans="1:1" x14ac:dyDescent="0.2">
      <c r="A92">
        <f>_xlfn.DAYS(45717,45306)</f>
        <v>411</v>
      </c>
    </row>
    <row r="93" spans="1:1" x14ac:dyDescent="0.2">
      <c r="A93">
        <f>_xlfn.DAYS(61,59)</f>
        <v>2</v>
      </c>
    </row>
    <row r="94" spans="1:1" x14ac:dyDescent="0.2">
      <c r="A94">
        <f>_xlfn.DAYS("2025-03-01","2024-01-15")</f>
        <v>411</v>
      </c>
    </row>
    <row r="95" spans="1:1" x14ac:dyDescent="0.2">
      <c r="A95">
        <f>DAYS360(45306,45717)</f>
        <v>406</v>
      </c>
    </row>
    <row r="96" spans="1:1" x14ac:dyDescent="0.2">
      <c r="A96">
        <f>DAYS360(45351,45716)</f>
        <v>358</v>
      </c>
    </row>
    <row r="97" spans="1:1" x14ac:dyDescent="0.2">
      <c r="A97">
        <f>DAYS360(45351,45716,TRUE)</f>
        <v>359</v>
      </c>
    </row>
    <row r="98" spans="1:1" x14ac:dyDescent="0.2">
      <c r="A98">
        <f>DAYS360(45322,45351)</f>
        <v>29</v>
      </c>
    </row>
    <row r="99" spans="1:1" x14ac:dyDescent="0.2">
      <c r="A99">
        <f>YEARFRAC(45306,45717)</f>
        <v>1.1277777777777778</v>
      </c>
    </row>
    <row r="100" spans="1:1" x14ac:dyDescent="0.2">
      <c r="A100">
        <f>YEARFRAC(45306,45717,1)</f>
        <v>1.1244870041039672</v>
      </c>
    </row>
    <row r="101" spans="1:1" x14ac:dyDescent="0.2">
      <c r="A101">
        <f>YEARFRAC(45306,45717,2)</f>
        <v>1.1416666666666666</v>
      </c>
    </row>
    <row r="102" spans="1:1" x14ac:dyDescent="0.2">
      <c r="A102">
        <f>YEARFRAC(45306,45717,3)</f>
        <v>1.1260273972602739</v>
      </c>
    </row>
    <row r="103" spans="1:1" x14ac:dyDescent="0.2">
      <c r="A103">
        <f>YEARFRAC(45306,45717,4)</f>
        <v>1.1277777777777778</v>
      </c>
    </row>
    <row r="104" spans="1:1" x14ac:dyDescent="0.2">
      <c r="A104">
        <f>YEARFRAC(45717,45306,1)</f>
        <v>1.1244870041039672</v>
      </c>
    </row>
    <row r="105" spans="1:1" x14ac:dyDescent="0.2">
      <c r="A105">
        <f>YEARFRAC(59,61,1)</f>
        <v>5.4794520547945206E-3</v>
      </c>
    </row>
    <row r="106" spans="1:1" x14ac:dyDescent="0.2">
      <c r="A106">
        <f>YEARFRAC(45351,45716,1)</f>
        <v>0.99726775956284153</v>
      </c>
    </row>
    <row r="107" spans="1:1" x14ac:dyDescent="0.2">
      <c r="A107" t="e">
        <f>YEARFRAC(45306,45717,5)</f>
        <v>#NUM!</v>
      </c>
    </row>
    <row r="108" spans="1:1" x14ac:dyDescent="0.2">
      <c r="A108">
        <f>NETWORKDAYS(45658,45688)</f>
        <v>23</v>
      </c>
    </row>
    <row r="109" spans="1:1" x14ac:dyDescent="0.2">
      <c r="A109">
        <f>NETWORKDAYS(45658,45688,Data!T1:T3)</f>
        <v>21</v>
      </c>
    </row>
    <row r="110" spans="1:1" x14ac:dyDescent="0.2">
      <c r="A110">
        <f>NETWORKDAYS(45688,45658)</f>
        <v>-23</v>
      </c>
    </row>
    <row r="111" spans="1:1" x14ac:dyDescent="0.2">
      <c r="A111">
        <f>NETWORKDAYS(45661,45661)</f>
        <v>0</v>
      </c>
    </row>
    <row r="112" spans="1:1" x14ac:dyDescent="0.2">
      <c r="A112">
        <f>NETWORKDAYS.INTL(45658,45688,1)</f>
        <v>23</v>
      </c>
    </row>
    <row r="113" spans="1:1" x14ac:dyDescent="0.2">
      <c r="A113">
        <f>NETWORKDAYS.INTL(45658,45688,11)</f>
        <v>27</v>
      </c>
    </row>
    <row r="114" spans="1:1" x14ac:dyDescent="0.2">
      <c r="A114">
        <f>NETWORKDAYS.INTL(45658,45688,7)</f>
        <v>22</v>
      </c>
    </row>
    <row r="115" spans="1:1" x14ac:dyDescent="0.2">
      <c r="A115">
        <f>NETWORKDAYS.INTL(45658,45688,"0000011")</f>
        <v>23</v>
      </c>
    </row>
    <row r="116" spans="1:1" x14ac:dyDescent="0.2">
      <c r="A116">
        <f>NETWORKDAYS.INTL(45658,45688,"1111111")</f>
        <v>0</v>
      </c>
    </row>
    <row r="117" spans="1:1" x14ac:dyDescent="0.2">
      <c r="A117" t="e">
        <f>NETWORKDAYS.INTL(45658,45688,"000001")</f>
        <v>#VALUE!</v>
      </c>
    </row>
    <row r="118" spans="1:1" x14ac:dyDescent="0.2">
      <c r="A118" t="e">
        <f>NETWORKDAYS.INTL(45658,45688,18)</f>
        <v>#NUM!</v>
      </c>
    </row>
    <row r="119" spans="1:1" x14ac:dyDescent="0.2">
      <c r="A119">
        <f>NETWORKDAYS.INTL(45658,45688,1,Data!T1:T3)</f>
        <v>21</v>
      </c>
    </row>
    <row r="120" spans="1:1" x14ac:dyDescent="0.2">
      <c r="A120">
        <f>WORKDAY(45658,10)</f>
        <v>45672</v>
      </c>
    </row>
    <row r="121" spans="1:1" x14ac:dyDescent="0.2">
      <c r="A121">
        <f>WORKDAY(45658,10,Data!T1:T3)</f>
        <v>45672</v>
      </c>
    </row>
    <row r="122" spans="1:1" x14ac:dyDescent="0.2">
      <c r="A122">
        <f>WORKDAY(45658,-5)</f>
        <v>45651</v>
      </c>
    </row>
    <row r="123" spans="1:1" x14ac:dyDescent="0.2">
      <c r="A123">
        <f>WORKDAY(45658,0)</f>
        <v>45658</v>
      </c>
    </row>
    <row r="124" spans="1:1" x14ac:dyDescent="0.2">
      <c r="A124">
        <f>WORKDAY(45661,1)</f>
        <v>45663</v>
      </c>
    </row>
    <row r="125" spans="1:1" x14ac:dyDescent="0.2">
      <c r="A125">
        <f>WORKDAY.INTL(45658,10,7)</f>
        <v>45672</v>
      </c>
    </row>
    <row r="126" spans="1:1" x14ac:dyDescent="0.2">
      <c r="A126">
        <f>WORKDAY.INTL(45658,10,"0000110")</f>
        <v>45672</v>
      </c>
    </row>
    <row r="127" spans="1:1" x14ac:dyDescent="0.2">
      <c r="A127">
        <f>WORKDAY.INTL(45658,5,1,Data!T1:T3)</f>
        <v>45665</v>
      </c>
    </row>
    <row r="128" spans="1:1" x14ac:dyDescent="0.2">
      <c r="A128" t="e">
        <f>WORKDAY.INTL(45658,5,"1111111")</f>
        <v>#VALUE!</v>
      </c>
    </row>
    <row r="129" spans="1:1" x14ac:dyDescent="0.2">
      <c r="A129">
        <f>DATEVALUE("3/4/2025")</f>
        <v>45720</v>
      </c>
    </row>
    <row r="130" spans="1:1" x14ac:dyDescent="0.2">
      <c r="A130">
        <f>DATEVALUE("2025-03-04")</f>
        <v>45720</v>
      </c>
    </row>
    <row r="131" spans="1:1" x14ac:dyDescent="0.2">
      <c r="A131">
        <f>DATEVALUE("4-Mar-2025")</f>
        <v>45720</v>
      </c>
    </row>
    <row r="132" spans="1:1" x14ac:dyDescent="0.2">
      <c r="A132">
        <f>DATEVALUE("March 4, 2025")</f>
        <v>45720</v>
      </c>
    </row>
    <row r="133" spans="1:1" x14ac:dyDescent="0.2">
      <c r="A133">
        <f>DATEVALUE("2/29/1900")</f>
        <v>60</v>
      </c>
    </row>
    <row r="134" spans="1:1" x14ac:dyDescent="0.2">
      <c r="A134">
        <f>DATEVALUE("1/1/1900")</f>
        <v>1</v>
      </c>
    </row>
    <row r="135" spans="1:1" x14ac:dyDescent="0.2">
      <c r="A135">
        <f>DATEVALUE("12/31/9999")</f>
        <v>2958465</v>
      </c>
    </row>
    <row r="136" spans="1:1" x14ac:dyDescent="0.2">
      <c r="A136" t="e">
        <f>DATEVALUE("2/30/2025")</f>
        <v>#VALUE!</v>
      </c>
    </row>
    <row r="137" spans="1:1" x14ac:dyDescent="0.2">
      <c r="A137" t="e">
        <f>DATEVALUE("1/1/1899")</f>
        <v>#VALUE!</v>
      </c>
    </row>
    <row r="138" spans="1:1" x14ac:dyDescent="0.2">
      <c r="A138">
        <f>DATEVALUE("3/4/25")</f>
        <v>45720</v>
      </c>
    </row>
    <row r="139" spans="1:1" x14ac:dyDescent="0.2">
      <c r="A139">
        <f>DATEVALUE("3/4/29")</f>
        <v>47181</v>
      </c>
    </row>
    <row r="140" spans="1:1" x14ac:dyDescent="0.2">
      <c r="A140">
        <f>DATEVALUE("3/4/30")</f>
        <v>11021</v>
      </c>
    </row>
    <row r="141" spans="1:1" x14ac:dyDescent="0.2">
      <c r="A141">
        <f>DATEVALUE("2025-03-04 13:00")</f>
        <v>45720</v>
      </c>
    </row>
    <row r="142" spans="1:1" x14ac:dyDescent="0.2">
      <c r="A142" t="e">
        <f>DATEVALUE("hello")</f>
        <v>#VALUE!</v>
      </c>
    </row>
    <row r="143" spans="1:1" x14ac:dyDescent="0.2">
      <c r="A143" t="e">
        <f>DATEVALUE(45306)</f>
        <v>#VALUE!</v>
      </c>
    </row>
    <row r="144" spans="1:1" x14ac:dyDescent="0.2">
      <c r="A144">
        <f>TIMEVALUE("12:30")</f>
        <v>0.52083333333333337</v>
      </c>
    </row>
    <row r="145" spans="1:1" x14ac:dyDescent="0.2">
      <c r="A145">
        <f>TIMEVALUE("1:30 PM")</f>
        <v>0.5625</v>
      </c>
    </row>
    <row r="146" spans="1:1" x14ac:dyDescent="0.2">
      <c r="A146">
        <f>TIMEVALUE("2025-03-04 06:00")</f>
        <v>0.25</v>
      </c>
    </row>
    <row r="147" spans="1:1" x14ac:dyDescent="0.2">
      <c r="A147">
        <f>TIMEVALUE("12:30:45.5")</f>
        <v>0.52135995370370369</v>
      </c>
    </row>
    <row r="148" spans="1:1" x14ac:dyDescent="0.2">
      <c r="A148">
        <f>TIMEVALUE("25:00")</f>
        <v>4.1666666666666741E-2</v>
      </c>
    </row>
    <row r="149" spans="1:1" x14ac:dyDescent="0.2">
      <c r="A149" t="e">
        <f>TIMEVALUE("x")</f>
        <v>#VALUE!</v>
      </c>
    </row>
    <row r="150" spans="1:1" x14ac:dyDescent="0.2">
      <c r="A150">
        <f>Data!F2-Data!F1</f>
        <v>45</v>
      </c>
    </row>
    <row r="151" spans="1:1" x14ac:dyDescent="0.2">
      <c r="A151">
        <f>Data!F1+0.5</f>
        <v>45306.5</v>
      </c>
    </row>
    <row r="152" spans="1:1" x14ac:dyDescent="0.2">
      <c r="A152" s="1">
        <f>DATE(YEAR(Data!F2),MONTH(Data!F2)+12,DAY(Data!F2))</f>
        <v>45717</v>
      </c>
    </row>
    <row r="153" spans="1:1" x14ac:dyDescent="0.2">
      <c r="A153">
        <f>MAX(Data!F1:F6)-MIN(Data!F1:F6)</f>
        <v>45658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EBCF-7F4D-434D-8182-FF1926D58484}">
  <dimension ref="F1:T6"/>
  <sheetViews>
    <sheetView tabSelected="1" workbookViewId="0"/>
  </sheetViews>
  <sheetFormatPr baseColWidth="10" defaultRowHeight="16" x14ac:dyDescent="0.2"/>
  <sheetData>
    <row r="1" spans="6:20" x14ac:dyDescent="0.2">
      <c r="F1">
        <v>45306</v>
      </c>
      <c r="T1">
        <v>45658</v>
      </c>
    </row>
    <row r="2" spans="6:20" x14ac:dyDescent="0.2">
      <c r="F2">
        <v>45351</v>
      </c>
      <c r="T2">
        <v>45677</v>
      </c>
    </row>
    <row r="3" spans="6:20" x14ac:dyDescent="0.2">
      <c r="F3">
        <v>45657</v>
      </c>
      <c r="T3">
        <v>45705</v>
      </c>
    </row>
    <row r="4" spans="6:20" x14ac:dyDescent="0.2">
      <c r="F4">
        <v>45717</v>
      </c>
    </row>
    <row r="5" spans="6:20" x14ac:dyDescent="0.2">
      <c r="F5">
        <v>59</v>
      </c>
    </row>
    <row r="6" spans="6:20" x14ac:dyDescent="0.2">
      <c r="F6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2026-10-30T04:44:14Z</dcterms:created>
  <dcterms:modified xsi:type="dcterms:W3CDTF">2026-10-30T04:44:19Z</dcterms:modified>
</cp:coreProperties>
</file>