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786586DE-D6F7-6947-A0CF-7D045CC41C7E}" xr6:coauthVersionLast="47" xr6:coauthVersionMax="47" xr10:uidLastSave="{00000000-0000-0000-0000-000000000000}"/>
  <bookViews>
    <workbookView xWindow="3980" yWindow="2780" windowWidth="28040" windowHeight="17180" activeTab="1" xr2:uid="{31E6598A-FD06-7C42-AA70-A68813816B96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61" i="1" l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H2" i="2"/>
  <c r="A20" i="1" l="1"/>
  <c r="A19" i="1"/>
</calcChain>
</file>

<file path=xl/sharedStrings.xml><?xml version="1.0" encoding="utf-8"?>
<sst xmlns="http://schemas.openxmlformats.org/spreadsheetml/2006/main" count="29" uniqueCount="26">
  <si>
    <t>apple</t>
  </si>
  <si>
    <t>Banana</t>
  </si>
  <si>
    <t>cherry</t>
  </si>
  <si>
    <t>apple pie</t>
  </si>
  <si>
    <t>date</t>
  </si>
  <si>
    <t>Apple</t>
  </si>
  <si>
    <t>text</t>
  </si>
  <si>
    <t>5</t>
  </si>
  <si>
    <t xml:space="preserve"> </t>
  </si>
  <si>
    <t>a</t>
  </si>
  <si>
    <t>b</t>
  </si>
  <si>
    <t>A</t>
  </si>
  <si>
    <t>a*b</t>
  </si>
  <si>
    <t>a?b</t>
  </si>
  <si>
    <t>ab</t>
  </si>
  <si>
    <t>a~b</t>
  </si>
  <si>
    <t>id</t>
  </si>
  <si>
    <t>name</t>
  </si>
  <si>
    <t>score</t>
  </si>
  <si>
    <t>Ann</t>
  </si>
  <si>
    <t>Bob</t>
  </si>
  <si>
    <t>Cy</t>
  </si>
  <si>
    <t>Dee</t>
  </si>
  <si>
    <t>Eve</t>
  </si>
  <si>
    <t>&gt;80</t>
  </si>
  <si>
    <t>B*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</si>
</sst>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014E-2D36-D846-8F55-BCA0B2DE7D85}">
  <dimension ref="A1:A61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>
        <f>COUNTIF(Data!E1:E6,"apple")</f>
        <v>2</v>
      </c>
    </row>
    <row r="2" spans="1:1" x14ac:dyDescent="0.2">
      <c r="A2">
        <f>COUNTIF(Data!E1:E6,"a*")</f>
        <v>3</v>
      </c>
    </row>
    <row r="3" spans="1:1" x14ac:dyDescent="0.2">
      <c r="A3">
        <f>COUNTIF(Data!E1:E6,"?pple")</f>
        <v>2</v>
      </c>
    </row>
    <row r="4" spans="1:1" x14ac:dyDescent="0.2">
      <c r="A4">
        <f>COUNTIF(Data!E1:E6,"*e")</f>
        <v>4</v>
      </c>
    </row>
    <row r="5" spans="1:1" x14ac:dyDescent="0.2">
      <c r="A5">
        <f>COUNTIF(Data!E1:E6,"*p*e*")</f>
        <v>3</v>
      </c>
    </row>
    <row r="6" spans="1:1" x14ac:dyDescent="0.2">
      <c r="A6">
        <f>COUNTIF(Data!E1:E6,"????")</f>
        <v>1</v>
      </c>
    </row>
    <row r="7" spans="1:1" x14ac:dyDescent="0.2">
      <c r="A7">
        <f>COUNTIF(Data!E1:E6,"&lt;&gt;apple")</f>
        <v>4</v>
      </c>
    </row>
    <row r="8" spans="1:1" x14ac:dyDescent="0.2">
      <c r="A8">
        <f>COUNTIF(Data!E1:E6,"&lt;c")</f>
        <v>4</v>
      </c>
    </row>
    <row r="9" spans="1:1" x14ac:dyDescent="0.2">
      <c r="A9">
        <f>COUNTIF(Data!A1:A10,"&gt;=3")</f>
        <v>7</v>
      </c>
    </row>
    <row r="10" spans="1:1" x14ac:dyDescent="0.2">
      <c r="A10">
        <f>COUNTIF(Data!A1:A10,3)</f>
        <v>2</v>
      </c>
    </row>
    <row r="11" spans="1:1" x14ac:dyDescent="0.2">
      <c r="A11">
        <f>COUNTIF(Data!A1:A10,"3")</f>
        <v>2</v>
      </c>
    </row>
    <row r="12" spans="1:1" x14ac:dyDescent="0.2">
      <c r="A12">
        <f>COUNTIF(Data!A1:A10,"=3")</f>
        <v>2</v>
      </c>
    </row>
    <row r="13" spans="1:1" x14ac:dyDescent="0.2">
      <c r="A13">
        <f>COUNTIF(Data!A1:A10,"&lt;&gt;3")</f>
        <v>8</v>
      </c>
    </row>
    <row r="14" spans="1:1" x14ac:dyDescent="0.2">
      <c r="A14">
        <f>COUNTIF(Data!A1:A10,"&gt;"&amp;Data!A1)</f>
        <v>5</v>
      </c>
    </row>
    <row r="15" spans="1:1" x14ac:dyDescent="0.2">
      <c r="A15">
        <f>COUNTIF(Data!A1:A10,"&lt;"&amp;AVERAGE(Data!A1:A10))</f>
        <v>5</v>
      </c>
    </row>
    <row r="16" spans="1:1" x14ac:dyDescent="0.2">
      <c r="A16">
        <f>COUNTIF(Data!C1:C8,"&lt;&gt;")</f>
        <v>7</v>
      </c>
    </row>
    <row r="17" spans="1:1" x14ac:dyDescent="0.2">
      <c r="A17">
        <f>COUNTIF(Data!C1:C8,"")</f>
        <v>1</v>
      </c>
    </row>
    <row r="18" spans="1:1" x14ac:dyDescent="0.2">
      <c r="A18">
        <f>COUNTIF(Data!C1:C8,"=")</f>
        <v>1</v>
      </c>
    </row>
    <row r="19" spans="1:1" x14ac:dyDescent="0.2">
      <c r="A19">
        <f>COUNTIF(Data!H1:H4,"")</f>
        <v>2</v>
      </c>
    </row>
    <row r="20" spans="1:1" x14ac:dyDescent="0.2">
      <c r="A20">
        <f>COUNTIF(Data!H1:H4,"=")</f>
        <v>1</v>
      </c>
    </row>
    <row r="21" spans="1:1" x14ac:dyDescent="0.2">
      <c r="A21">
        <f>COUNTIF(Data!C1:C8,TRUE)</f>
        <v>1</v>
      </c>
    </row>
    <row r="22" spans="1:1" x14ac:dyDescent="0.2">
      <c r="A22">
        <f>COUNTIF(Data!C1:C8,"TRUE")</f>
        <v>1</v>
      </c>
    </row>
    <row r="23" spans="1:1" x14ac:dyDescent="0.2">
      <c r="A23">
        <f>COUNTIF(Data!C1:C8,"5")</f>
        <v>1</v>
      </c>
    </row>
    <row r="24" spans="1:1" x14ac:dyDescent="0.2">
      <c r="A24">
        <f>COUNTIF(Data!C1:C8,"&gt;5")</f>
        <v>3</v>
      </c>
    </row>
    <row r="25" spans="1:1" x14ac:dyDescent="0.2">
      <c r="A25">
        <f>COUNTIF(Data!C1:C8,"*")</f>
        <v>2</v>
      </c>
    </row>
    <row r="26" spans="1:1" x14ac:dyDescent="0.2">
      <c r="A26">
        <f>COUNTIF(Data!V1:V8,"a")</f>
        <v>3</v>
      </c>
    </row>
    <row r="27" spans="1:1" x14ac:dyDescent="0.2">
      <c r="A27">
        <f>COUNTIF(Data!AG1:AG4,"a~*b")</f>
        <v>1</v>
      </c>
    </row>
    <row r="28" spans="1:1" x14ac:dyDescent="0.2">
      <c r="A28">
        <f>COUNTIF(Data!AG1:AG4,"a?b")</f>
        <v>3</v>
      </c>
    </row>
    <row r="29" spans="1:1" x14ac:dyDescent="0.2">
      <c r="A29">
        <f>COUNTIF(Data!AG1:AG4,"a~?b")</f>
        <v>1</v>
      </c>
    </row>
    <row r="30" spans="1:1" x14ac:dyDescent="0.2">
      <c r="A30">
        <f>COUNTIF(Data!AG1:AG4,"a~~b")</f>
        <v>0</v>
      </c>
    </row>
    <row r="31" spans="1:1" x14ac:dyDescent="0.2">
      <c r="A31">
        <f>COUNTIF(Data!F1:F6,"&gt;"&amp;DATE(2024,6,1))</f>
        <v>2</v>
      </c>
    </row>
    <row r="32" spans="1:1" x14ac:dyDescent="0.2">
      <c r="A32">
        <f>COUNTIF(Data!F1:F6,"&gt;1/1/2025")</f>
        <v>1</v>
      </c>
    </row>
    <row r="33" spans="1:1" x14ac:dyDescent="0.2">
      <c r="A33">
        <f>COUNTIF(Data!G1:G3,"#N/A")</f>
        <v>1</v>
      </c>
    </row>
    <row r="34" spans="1:1" x14ac:dyDescent="0.2">
      <c r="A34">
        <f>COUNTIF(Data!X1:X8,"&gt;=2.2")</f>
        <v>7</v>
      </c>
    </row>
    <row r="35" spans="1:1" x14ac:dyDescent="0.2">
      <c r="A35">
        <f>SUMIF(Data!A1:A10,"&gt;3")</f>
        <v>29</v>
      </c>
    </row>
    <row r="36" spans="1:1" x14ac:dyDescent="0.2">
      <c r="A36">
        <f>SUMIF(Data!K2:K6,"&gt;102",Data!M2:M6)</f>
        <v>227</v>
      </c>
    </row>
    <row r="37" spans="1:1" x14ac:dyDescent="0.2">
      <c r="A37">
        <f>SUMIF(Data!L2:L6,"?o?",Data!M2:M6)</f>
        <v>95</v>
      </c>
    </row>
    <row r="38" spans="1:1" x14ac:dyDescent="0.2">
      <c r="A38">
        <f>SUMIF(Data!E1:E6,"apple*",Data!A1:A6)</f>
        <v>13</v>
      </c>
    </row>
    <row r="39" spans="1:1" x14ac:dyDescent="0.2">
      <c r="A39">
        <f>SUMIF(Data!A1:A10,"x")</f>
        <v>0</v>
      </c>
    </row>
    <row r="40" spans="1:1" x14ac:dyDescent="0.2">
      <c r="A40">
        <f>AVERAGEIF(Data!M2:M6,"&gt;80")</f>
        <v>92.666666666666671</v>
      </c>
    </row>
    <row r="41" spans="1:1" x14ac:dyDescent="0.2">
      <c r="A41">
        <f>AVERAGEIF(Data!L2:L6,"*e*",Data!M2:M6)</f>
        <v>77.5</v>
      </c>
    </row>
    <row r="42" spans="1:1" x14ac:dyDescent="0.2">
      <c r="A42" t="e">
        <f>AVERAGEIF(Data!A1:A10,"&gt;100")</f>
        <v>#DIV/0!</v>
      </c>
    </row>
    <row r="43" spans="1:1" x14ac:dyDescent="0.2">
      <c r="A43">
        <f>COUNTIFS(Data!A1:A10,"&gt;2",Data!B1:B10,"&lt;8")</f>
        <v>4</v>
      </c>
    </row>
    <row r="44" spans="1:1" x14ac:dyDescent="0.2">
      <c r="A44">
        <f>COUNTIFS(Data!E1:E6,"a*",Data!A1:A6,"&gt;2")</f>
        <v>2</v>
      </c>
    </row>
    <row r="45" spans="1:1" x14ac:dyDescent="0.2">
      <c r="A45" t="e">
        <f>COUNTIFS(Data!A1:A10,"&gt;2",Data!B1:B9,"&lt;8")</f>
        <v>#VALUE!</v>
      </c>
    </row>
    <row r="46" spans="1:1" x14ac:dyDescent="0.2">
      <c r="A46">
        <f>SUMIFS(Data!M2:M6,Data!K2:K6,"&gt;101",Data!M2:M6,"&gt;=90")</f>
        <v>190</v>
      </c>
    </row>
    <row r="47" spans="1:1" x14ac:dyDescent="0.2">
      <c r="A47">
        <f>SUMIFS(Data!A1:A10,Data!B1:B10,8)</f>
        <v>19</v>
      </c>
    </row>
    <row r="48" spans="1:1" x14ac:dyDescent="0.2">
      <c r="A48">
        <f>AVERAGEIFS(Data!M2:M6,Data!L2:L6,"&lt;&gt;Bob")</f>
        <v>78.75</v>
      </c>
    </row>
    <row r="49" spans="1:1" x14ac:dyDescent="0.2">
      <c r="A49">
        <f>_xlfn.MAXIFS(Data!M2:M6,Data!K2:K6,"&lt;104")</f>
        <v>95</v>
      </c>
    </row>
    <row r="50" spans="1:1" x14ac:dyDescent="0.2">
      <c r="A50">
        <f>_xlfn.MINIFS(Data!M2:M6,Data!L2:L6,"?e*")</f>
        <v>95</v>
      </c>
    </row>
    <row r="51" spans="1:1" x14ac:dyDescent="0.2">
      <c r="A51">
        <f>_xlfn.MAXIFS(Data!M2:M6,Data!K2:K6,"&gt;200")</f>
        <v>0</v>
      </c>
    </row>
    <row r="52" spans="1:1" x14ac:dyDescent="0.2">
      <c r="A52">
        <f>MATCH("*an*",Data!E1:E6,0)</f>
        <v>2</v>
      </c>
    </row>
    <row r="53" spans="1:1" x14ac:dyDescent="0.2">
      <c r="A53" t="str">
        <f>VLOOKUP("ch*",Data!E1:E6,1,FALSE)</f>
        <v>cherry</v>
      </c>
    </row>
    <row r="54" spans="1:1" x14ac:dyDescent="0.2">
      <c r="A54" t="str">
        <f>_xlfn.XLOOKUP("*pie",Data!E1:E6,Data!E1:E6,,2)</f>
        <v>apple pie</v>
      </c>
    </row>
    <row r="55" spans="1:1" x14ac:dyDescent="0.2">
      <c r="A55">
        <f>SEARCH("p?e","apple pie")</f>
        <v>3</v>
      </c>
    </row>
    <row r="56" spans="1:1" x14ac:dyDescent="0.2">
      <c r="A56">
        <f>MATCH("~?",{"a","?","b"},0)</f>
        <v>2</v>
      </c>
    </row>
    <row r="57" spans="1:1" x14ac:dyDescent="0.2">
      <c r="A57">
        <f>DSUM(Data!K1:M6,"score",Data!AA1:AA2)</f>
        <v>278</v>
      </c>
    </row>
    <row r="58" spans="1:1" x14ac:dyDescent="0.2">
      <c r="A58">
        <f>DCOUNT(Data!K1:M6,"score",Data!AA1:AB2)</f>
        <v>1</v>
      </c>
    </row>
    <row r="59" spans="1:1" x14ac:dyDescent="0.2">
      <c r="A59">
        <f>DAVERAGE(Data!K1:M6,3,Data!AA1:AA2)</f>
        <v>92.666666666666671</v>
      </c>
    </row>
    <row r="60" spans="1:1" x14ac:dyDescent="0.2">
      <c r="A60" t="str">
        <f>DGET(Data!K1:M6,"name",Data!AA1:AB2)</f>
        <v>Bob</v>
      </c>
    </row>
    <row r="61" spans="1:1" x14ac:dyDescent="0.2">
      <c r="A61">
        <f>DMAX(Data!K1:M6,"id",Data!AA1:AA2)</f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36C4-7FAA-9B40-BC73-666E5C059BBA}">
  <dimension ref="A1:AG10"/>
  <sheetViews>
    <sheetView tabSelected="1" workbookViewId="0"/>
  </sheetViews>
  <sheetFormatPr baseColWidth="10" defaultRowHeight="16" x14ac:dyDescent="0.2"/>
  <sheetData>
    <row r="1" spans="1:33" x14ac:dyDescent="0.2">
      <c r="A1">
        <v>3</v>
      </c>
      <c r="B1">
        <v>2</v>
      </c>
      <c r="C1">
        <v>10</v>
      </c>
      <c r="E1" s="1" t="s">
        <v>0</v>
      </c>
      <c r="F1">
        <v>45306</v>
      </c>
      <c r="G1" t="e">
        <v>#N/A</v>
      </c>
      <c r="K1" s="1" t="s">
        <v>16</v>
      </c>
      <c r="L1" s="1" t="s">
        <v>17</v>
      </c>
      <c r="M1" s="1" t="s">
        <v>18</v>
      </c>
      <c r="V1">
        <v>3</v>
      </c>
      <c r="X1">
        <v>1.1000000000000001</v>
      </c>
      <c r="AA1" s="1" t="s">
        <v>18</v>
      </c>
      <c r="AB1" s="1" t="s">
        <v>17</v>
      </c>
      <c r="AG1" s="1" t="s">
        <v>12</v>
      </c>
    </row>
    <row r="2" spans="1:33" x14ac:dyDescent="0.2">
      <c r="A2">
        <v>1</v>
      </c>
      <c r="B2">
        <v>7</v>
      </c>
      <c r="C2" s="1" t="s">
        <v>6</v>
      </c>
      <c r="E2" s="1" t="s">
        <v>1</v>
      </c>
      <c r="F2">
        <v>45351</v>
      </c>
      <c r="G2" t="e">
        <v>#DIV/0!</v>
      </c>
      <c r="H2" t="str">
        <f>""</f>
        <v/>
      </c>
      <c r="K2">
        <v>101</v>
      </c>
      <c r="L2" s="1" t="s">
        <v>19</v>
      </c>
      <c r="M2">
        <v>88</v>
      </c>
      <c r="V2" s="1" t="s">
        <v>9</v>
      </c>
      <c r="X2">
        <v>2.9</v>
      </c>
      <c r="AA2" s="1" t="s">
        <v>24</v>
      </c>
      <c r="AB2" s="1" t="s">
        <v>25</v>
      </c>
      <c r="AG2" s="1" t="s">
        <v>13</v>
      </c>
    </row>
    <row r="3" spans="1:33" x14ac:dyDescent="0.2">
      <c r="A3">
        <v>4</v>
      </c>
      <c r="B3">
        <v>1</v>
      </c>
      <c r="C3" t="b">
        <v>1</v>
      </c>
      <c r="E3" s="1" t="s">
        <v>2</v>
      </c>
      <c r="F3">
        <v>45657</v>
      </c>
      <c r="G3">
        <v>7</v>
      </c>
      <c r="H3" s="1" t="s">
        <v>8</v>
      </c>
      <c r="K3">
        <v>102</v>
      </c>
      <c r="L3" s="1" t="s">
        <v>20</v>
      </c>
      <c r="M3">
        <v>95</v>
      </c>
      <c r="V3">
        <v>3</v>
      </c>
      <c r="X3">
        <v>2.2000000000000002</v>
      </c>
      <c r="AG3" s="1" t="s">
        <v>14</v>
      </c>
    </row>
    <row r="4" spans="1:33" x14ac:dyDescent="0.2">
      <c r="A4">
        <v>1</v>
      </c>
      <c r="B4">
        <v>8</v>
      </c>
      <c r="E4" s="1" t="s">
        <v>3</v>
      </c>
      <c r="F4">
        <v>45717</v>
      </c>
      <c r="H4">
        <v>0</v>
      </c>
      <c r="K4">
        <v>103</v>
      </c>
      <c r="L4" s="1" t="s">
        <v>21</v>
      </c>
      <c r="M4">
        <v>72</v>
      </c>
      <c r="V4" s="1" t="s">
        <v>10</v>
      </c>
      <c r="X4">
        <v>4.8</v>
      </c>
      <c r="AG4" s="1" t="s">
        <v>15</v>
      </c>
    </row>
    <row r="5" spans="1:33" x14ac:dyDescent="0.2">
      <c r="A5">
        <v>5</v>
      </c>
      <c r="B5">
        <v>2</v>
      </c>
      <c r="C5">
        <v>20</v>
      </c>
      <c r="E5" s="1" t="s">
        <v>4</v>
      </c>
      <c r="F5">
        <v>59</v>
      </c>
      <c r="K5">
        <v>104</v>
      </c>
      <c r="L5" s="1" t="s">
        <v>22</v>
      </c>
      <c r="M5">
        <v>95</v>
      </c>
      <c r="V5" s="1" t="s">
        <v>9</v>
      </c>
      <c r="X5">
        <v>3.9</v>
      </c>
    </row>
    <row r="6" spans="1:33" x14ac:dyDescent="0.2">
      <c r="A6">
        <v>9</v>
      </c>
      <c r="B6">
        <v>8</v>
      </c>
      <c r="C6" s="1" t="s">
        <v>7</v>
      </c>
      <c r="E6" s="1" t="s">
        <v>5</v>
      </c>
      <c r="F6">
        <v>61</v>
      </c>
      <c r="K6">
        <v>105</v>
      </c>
      <c r="L6" s="1" t="s">
        <v>23</v>
      </c>
      <c r="M6">
        <v>60</v>
      </c>
      <c r="V6">
        <v>5</v>
      </c>
      <c r="X6">
        <v>6.2</v>
      </c>
    </row>
    <row r="7" spans="1:33" x14ac:dyDescent="0.2">
      <c r="A7">
        <v>2</v>
      </c>
      <c r="B7">
        <v>1</v>
      </c>
      <c r="C7" t="b">
        <v>0</v>
      </c>
      <c r="V7" s="1" t="s">
        <v>11</v>
      </c>
      <c r="X7">
        <v>5.0999999999999996</v>
      </c>
    </row>
    <row r="8" spans="1:33" x14ac:dyDescent="0.2">
      <c r="A8">
        <v>6</v>
      </c>
      <c r="B8">
        <v>8</v>
      </c>
      <c r="C8">
        <v>30</v>
      </c>
      <c r="X8">
        <v>7.9</v>
      </c>
    </row>
    <row r="9" spans="1:33" x14ac:dyDescent="0.2">
      <c r="A9">
        <v>5</v>
      </c>
      <c r="B9">
        <v>2</v>
      </c>
    </row>
    <row r="10" spans="1:33" x14ac:dyDescent="0.2">
      <c r="A10">
        <v>3</v>
      </c>
      <c r="B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2026-10-30T04:44:28Z</dcterms:created>
  <dcterms:modified xsi:type="dcterms:W3CDTF">2026-10-30T04:44:31Z</dcterms:modified>
</cp:coreProperties>
</file>