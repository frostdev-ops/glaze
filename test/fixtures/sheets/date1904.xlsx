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ate1904="1" filterPrivacy="1" defaultThemeVersion="202300"/>
  <xr:revisionPtr revIDLastSave="0" documentId="8_{02D75FBB-68F7-8249-9198-E4FC1533B6E2}" xr6:coauthVersionLast="47" xr6:coauthVersionMax="47" xr10:uidLastSave="{00000000-0000-0000-0000-000000000000}"/>
  <bookViews>
    <workbookView xWindow="3980" yWindow="2780" windowWidth="28040" windowHeight="17180" activeTab="1" xr2:uid="{083B0436-AAE0-E348-B8FD-2C05CFD315F9}"/>
  </bookViews>
  <sheets>
    <sheet name="Case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1" i="1" l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C7AD2-B9AC-5643-9C76-5CC5F4DEF341}">
  <dimension ref="A1:A31"/>
  <sheetViews>
    <sheetView workbookViewId="0"/>
  </sheetViews>
  <sheetFormatPr baseColWidth="10" defaultRowHeight="16" x14ac:dyDescent="0.2"/>
  <cols>
    <col min="1" max="1" width="80.83203125" customWidth="1"/>
  </cols>
  <sheetData>
    <row r="1" spans="1:1" x14ac:dyDescent="0.2">
      <c r="A1" s="1">
        <f>DATE(1904,1,1)</f>
        <v>0</v>
      </c>
    </row>
    <row r="2" spans="1:1" x14ac:dyDescent="0.2">
      <c r="A2" s="1">
        <f>DATE(1904,1,2)</f>
        <v>1</v>
      </c>
    </row>
    <row r="3" spans="1:1" x14ac:dyDescent="0.2">
      <c r="A3" s="1">
        <f>DATE(2025,1,1)</f>
        <v>44196</v>
      </c>
    </row>
    <row r="4" spans="1:1" x14ac:dyDescent="0.2">
      <c r="A4" s="1" t="e">
        <f>DATE(1903,12,31)</f>
        <v>#NUM!</v>
      </c>
    </row>
    <row r="5" spans="1:1" x14ac:dyDescent="0.2">
      <c r="A5" s="1" t="e">
        <f>DATE(1900,1,1)</f>
        <v>#NUM!</v>
      </c>
    </row>
    <row r="6" spans="1:1" x14ac:dyDescent="0.2">
      <c r="A6" s="1">
        <f>DATE(9999,12,31)</f>
        <v>2957003</v>
      </c>
    </row>
    <row r="7" spans="1:1" x14ac:dyDescent="0.2">
      <c r="A7">
        <f>YEAR(0)</f>
        <v>1904</v>
      </c>
    </row>
    <row r="8" spans="1:1" x14ac:dyDescent="0.2">
      <c r="A8">
        <f>MONTH(0)</f>
        <v>1</v>
      </c>
    </row>
    <row r="9" spans="1:1" x14ac:dyDescent="0.2">
      <c r="A9">
        <f>DAY(0)</f>
        <v>1</v>
      </c>
    </row>
    <row r="10" spans="1:1" x14ac:dyDescent="0.2">
      <c r="A10">
        <f>DAY(60)</f>
        <v>1</v>
      </c>
    </row>
    <row r="11" spans="1:1" x14ac:dyDescent="0.2">
      <c r="A11">
        <f>WEEKDAY(0)</f>
        <v>6</v>
      </c>
    </row>
    <row r="12" spans="1:1" x14ac:dyDescent="0.2">
      <c r="A12" t="str">
        <f>TEXT(0,"[$-409]yyyy-mm-dd")</f>
        <v>1904-01-01</v>
      </c>
    </row>
    <row r="13" spans="1:1" x14ac:dyDescent="0.2">
      <c r="A13" t="str">
        <f>TEXT(44196,"[$-409]yyyy-mm-dd")</f>
        <v>2025-01-01</v>
      </c>
    </row>
    <row r="14" spans="1:1" x14ac:dyDescent="0.2">
      <c r="A14" t="str">
        <f>TEXT(-1,"[$-409]yyyy-mm-dd")</f>
        <v>-1904-01-02</v>
      </c>
    </row>
    <row r="15" spans="1:1" x14ac:dyDescent="0.2">
      <c r="A15">
        <f>DATEVALUE("1/1/1904")</f>
        <v>0</v>
      </c>
    </row>
    <row r="16" spans="1:1" x14ac:dyDescent="0.2">
      <c r="A16">
        <f>DATEVALUE("3/4/2025")</f>
        <v>44258</v>
      </c>
    </row>
    <row r="17" spans="1:1" x14ac:dyDescent="0.2">
      <c r="A17" t="e">
        <f>DATEVALUE("12/31/1903")</f>
        <v>#VALUE!</v>
      </c>
    </row>
    <row r="18" spans="1:1" x14ac:dyDescent="0.2">
      <c r="A18">
        <f>EDATE(0,1)</f>
        <v>31</v>
      </c>
    </row>
    <row r="19" spans="1:1" x14ac:dyDescent="0.2">
      <c r="A19">
        <f>EOMONTH(0,1)</f>
        <v>59</v>
      </c>
    </row>
    <row r="20" spans="1:1" x14ac:dyDescent="0.2">
      <c r="A20">
        <f>NETWORKDAYS(0,30)</f>
        <v>21</v>
      </c>
    </row>
    <row r="21" spans="1:1" x14ac:dyDescent="0.2">
      <c r="A21">
        <f>WORKDAY(0,10)</f>
        <v>14</v>
      </c>
    </row>
    <row r="22" spans="1:1" x14ac:dyDescent="0.2">
      <c r="A22">
        <f>YEARFRAC(0,365,1)</f>
        <v>0.99726775956284153</v>
      </c>
    </row>
    <row r="23" spans="1:1" x14ac:dyDescent="0.2">
      <c r="A23">
        <f>DATEDIF(0,1462,"y")</f>
        <v>4</v>
      </c>
    </row>
    <row r="24" spans="1:1" x14ac:dyDescent="0.2">
      <c r="A24">
        <f>WEEKNUM(0)</f>
        <v>1</v>
      </c>
    </row>
    <row r="25" spans="1:1" x14ac:dyDescent="0.2">
      <c r="A25">
        <f>_xlfn.ISOWEEKNUM(0)</f>
        <v>53</v>
      </c>
    </row>
    <row r="26" spans="1:1" x14ac:dyDescent="0.2">
      <c r="A26">
        <f>_xlfn.DAYS(DATE(2025,3,1),DATE(2024,1,15))</f>
        <v>411</v>
      </c>
    </row>
    <row r="27" spans="1:1" x14ac:dyDescent="0.2">
      <c r="A27">
        <f>YEAR(Data!F1)</f>
        <v>2028</v>
      </c>
    </row>
    <row r="28" spans="1:1" x14ac:dyDescent="0.2">
      <c r="A28" t="str">
        <f>TEXT(Data!F1,"[$-409]yyyy-mm-dd")</f>
        <v>2028-01-16</v>
      </c>
    </row>
    <row r="29" spans="1:1" x14ac:dyDescent="0.2">
      <c r="A29" s="1">
        <f>DATE(1904,1,1)-1</f>
        <v>-1</v>
      </c>
    </row>
    <row r="30" spans="1:1" x14ac:dyDescent="0.2">
      <c r="A30" t="e">
        <f>YEAR(2957004)</f>
        <v>#NUM!</v>
      </c>
    </row>
    <row r="31" spans="1:1" x14ac:dyDescent="0.2">
      <c r="A31" s="1">
        <f>DATE(2025,1,1)+TIME(12,0,0)</f>
        <v>44196.5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98C5-AB22-5C4F-9E3E-7A7CB4BF2B0D}">
  <dimension ref="F1:F6"/>
  <sheetViews>
    <sheetView tabSelected="1" workbookViewId="0"/>
  </sheetViews>
  <sheetFormatPr baseColWidth="10" defaultRowHeight="16" x14ac:dyDescent="0.2"/>
  <sheetData>
    <row r="1" spans="6:6" x14ac:dyDescent="0.2">
      <c r="F1">
        <v>45306</v>
      </c>
    </row>
    <row r="2" spans="6:6" x14ac:dyDescent="0.2">
      <c r="F2">
        <v>45351</v>
      </c>
    </row>
    <row r="3" spans="6:6" x14ac:dyDescent="0.2">
      <c r="F3">
        <v>45657</v>
      </c>
    </row>
    <row r="4" spans="6:6" x14ac:dyDescent="0.2">
      <c r="F4">
        <v>45717</v>
      </c>
    </row>
    <row r="5" spans="6:6" x14ac:dyDescent="0.2">
      <c r="F5">
        <v>59</v>
      </c>
    </row>
    <row r="6" spans="6:6" x14ac:dyDescent="0.2">
      <c r="F6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2026-10-30T04:44:38Z</dcterms:created>
  <dcterms:modified xsi:type="dcterms:W3CDTF">2026-10-30T04:44:39Z</dcterms:modified>
</cp:coreProperties>
</file>