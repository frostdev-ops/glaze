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F9BA7EC3-2673-BA4F-846C-F923357998C5}" xr6:coauthVersionLast="47" xr6:coauthVersionMax="47" xr10:uidLastSave="{00000000-0000-0000-0000-000000000000}"/>
  <bookViews>
    <workbookView xWindow="3980" yWindow="2780" windowWidth="28040" windowHeight="17180" activeTab="1" xr2:uid="{A44195EF-0E1E-5A41-92E6-D22614F83082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31" i="1" l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H2" i="2"/>
  <c r="A37" i="1" s="1"/>
</calcChain>
</file>

<file path=xl/sharedStrings.xml><?xml version="1.0" encoding="utf-8"?>
<sst xmlns="http://schemas.openxmlformats.org/spreadsheetml/2006/main" count="11" uniqueCount="11">
  <si>
    <t xml:space="preserve"> </t>
  </si>
  <si>
    <t xml:space="preserve">  lead and trail  </t>
  </si>
  <si>
    <t>a  b   c</t>
  </si>
  <si>
    <t>Ünïcödé</t>
  </si>
  <si>
    <t>x-y-z-w</t>
  </si>
  <si>
    <t>apple</t>
  </si>
  <si>
    <t>Banana</t>
  </si>
  <si>
    <t>cherry</t>
  </si>
  <si>
    <t>apple pie</t>
  </si>
  <si>
    <t>date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</si>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</sst>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C6B6-48AE-DE48-9C83-1F25AB11B718}">
  <dimension ref="A1:A131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>
        <f>LEN("hello")</f>
        <v>5</v>
      </c>
    </row>
    <row r="2" spans="1:1" x14ac:dyDescent="0.2">
      <c r="A2">
        <f>LEN("")</f>
        <v>0</v>
      </c>
    </row>
    <row r="3" spans="1:1" x14ac:dyDescent="0.2">
      <c r="A3">
        <f>LEN(Data!H1)</f>
        <v>0</v>
      </c>
    </row>
    <row r="4" spans="1:1" x14ac:dyDescent="0.2">
      <c r="A4">
        <f>LEN(Data!H3)</f>
        <v>1</v>
      </c>
    </row>
    <row r="5" spans="1:1" x14ac:dyDescent="0.2">
      <c r="A5">
        <f>LEN(12.5)</f>
        <v>4</v>
      </c>
    </row>
    <row r="6" spans="1:1" x14ac:dyDescent="0.2">
      <c r="A6">
        <f>LEN(1/3)</f>
        <v>17</v>
      </c>
    </row>
    <row r="7" spans="1:1" x14ac:dyDescent="0.2">
      <c r="A7">
        <f>LEN(TRUE)</f>
        <v>4</v>
      </c>
    </row>
    <row r="8" spans="1:1" x14ac:dyDescent="0.2">
      <c r="A8">
        <f>LEN("é")</f>
        <v>1</v>
      </c>
    </row>
    <row r="9" spans="1:1" x14ac:dyDescent="0.2">
      <c r="A9">
        <f>LEN(_xlfn.UNICHAR(128512))</f>
        <v>1</v>
      </c>
    </row>
    <row r="10" spans="1:1" x14ac:dyDescent="0.2">
      <c r="A10">
        <f>LEN(Data!U3)</f>
        <v>7</v>
      </c>
    </row>
    <row r="11" spans="1:1" x14ac:dyDescent="0.2">
      <c r="A11" t="str">
        <f>LEFT("hello",2)</f>
        <v>he</v>
      </c>
    </row>
    <row r="12" spans="1:1" x14ac:dyDescent="0.2">
      <c r="A12" t="str">
        <f>LEFT("hello")</f>
        <v>h</v>
      </c>
    </row>
    <row r="13" spans="1:1" x14ac:dyDescent="0.2">
      <c r="A13" t="str">
        <f>LEFT("hello",0)</f>
        <v/>
      </c>
    </row>
    <row r="14" spans="1:1" x14ac:dyDescent="0.2">
      <c r="A14" t="str">
        <f>LEFT("hello",10)</f>
        <v>hello</v>
      </c>
    </row>
    <row r="15" spans="1:1" x14ac:dyDescent="0.2">
      <c r="A15" t="e">
        <f>LEFT("hello",-1)</f>
        <v>#VALUE!</v>
      </c>
    </row>
    <row r="16" spans="1:1" x14ac:dyDescent="0.2">
      <c r="A16" t="str">
        <f>LEFT(1234,2)</f>
        <v>12</v>
      </c>
    </row>
    <row r="17" spans="1:1" x14ac:dyDescent="0.2">
      <c r="A17" t="str">
        <f>RIGHT("hello",3)</f>
        <v>llo</v>
      </c>
    </row>
    <row r="18" spans="1:1" x14ac:dyDescent="0.2">
      <c r="A18" t="str">
        <f>RIGHT("hello",0)</f>
        <v/>
      </c>
    </row>
    <row r="19" spans="1:1" x14ac:dyDescent="0.2">
      <c r="A19" t="str">
        <f>MID("hello",2,3)</f>
        <v>ell</v>
      </c>
    </row>
    <row r="20" spans="1:1" x14ac:dyDescent="0.2">
      <c r="A20" t="str">
        <f>MID("hello",10,2)</f>
        <v/>
      </c>
    </row>
    <row r="21" spans="1:1" x14ac:dyDescent="0.2">
      <c r="A21" t="e">
        <f>MID("hello",0,2)</f>
        <v>#VALUE!</v>
      </c>
    </row>
    <row r="22" spans="1:1" x14ac:dyDescent="0.2">
      <c r="A22" t="e">
        <f>MID("hello",2,-1)</f>
        <v>#VALUE!</v>
      </c>
    </row>
    <row r="23" spans="1:1" x14ac:dyDescent="0.2">
      <c r="A23" t="str">
        <f>UPPER("MiXeD")</f>
        <v>MIXED</v>
      </c>
    </row>
    <row r="24" spans="1:1" x14ac:dyDescent="0.2">
      <c r="A24" t="str">
        <f>LOWER("MiXeD")</f>
        <v>mixed</v>
      </c>
    </row>
    <row r="25" spans="1:1" x14ac:dyDescent="0.2">
      <c r="A25" t="str">
        <f>PROPER("hello WORLD o'neil 2nd-place")</f>
        <v>Hello World O'Neil 2Nd-Place</v>
      </c>
    </row>
    <row r="26" spans="1:1" x14ac:dyDescent="0.2">
      <c r="A26" t="str">
        <f>PROPER("école élève")</f>
        <v>École Élève</v>
      </c>
    </row>
    <row r="27" spans="1:1" x14ac:dyDescent="0.2">
      <c r="A27" t="str">
        <f>UPPER(Data!U3)</f>
        <v>ÜNÏCÖDÉ</v>
      </c>
    </row>
    <row r="28" spans="1:1" x14ac:dyDescent="0.2">
      <c r="A28" t="str">
        <f>TRIM(Data!U1)</f>
        <v>lead and trail</v>
      </c>
    </row>
    <row r="29" spans="1:1" x14ac:dyDescent="0.2">
      <c r="A29" t="str">
        <f>TRIM(Data!U2)</f>
        <v>a b c</v>
      </c>
    </row>
    <row r="30" spans="1:1" x14ac:dyDescent="0.2">
      <c r="A30" t="str">
        <f>TRIM("  ")</f>
        <v/>
      </c>
    </row>
    <row r="31" spans="1:1" x14ac:dyDescent="0.2">
      <c r="A31" t="str">
        <f>CLEAN("a"&amp;CHAR(7)&amp;"b")</f>
        <v>ab</v>
      </c>
    </row>
    <row r="32" spans="1:1" x14ac:dyDescent="0.2">
      <c r="A32" t="str">
        <f>CLEAN(CHAR(10)&amp;"x")</f>
        <v>x</v>
      </c>
    </row>
    <row r="33" spans="1:1" x14ac:dyDescent="0.2">
      <c r="A33" t="str">
        <f>CONCATENATE("a",1,TRUE)</f>
        <v>a1TRUE</v>
      </c>
    </row>
    <row r="34" spans="1:1" x14ac:dyDescent="0.2">
      <c r="A34" t="str">
        <f>_xlfn.CONCAT(Data!E1:E3)</f>
        <v>appleBananacherry</v>
      </c>
    </row>
    <row r="35" spans="1:1" x14ac:dyDescent="0.2">
      <c r="A35" t="str">
        <f>_xlfn.CONCAT("a",Data!A1:A3)</f>
        <v>a314</v>
      </c>
    </row>
    <row r="36" spans="1:1" x14ac:dyDescent="0.2">
      <c r="A36" t="str">
        <f>_xlfn.TEXTJOIN(", ",TRUE,Data!E1:E3)</f>
        <v>apple, Banana, cherry</v>
      </c>
    </row>
    <row r="37" spans="1:1" x14ac:dyDescent="0.2">
      <c r="A37" t="str">
        <f>_xlfn.TEXTJOIN("-",FALSE,Data!H1:H3)</f>
        <v xml:space="preserve">-- </v>
      </c>
    </row>
    <row r="38" spans="1:1" x14ac:dyDescent="0.2">
      <c r="A38" t="str">
        <f>_xlfn.TEXTJOIN("-",TRUE,Data!H1:H3)</f>
        <v xml:space="preserve"> </v>
      </c>
    </row>
    <row r="39" spans="1:1" x14ac:dyDescent="0.2">
      <c r="A39" t="str">
        <f>_xlfn.TEXTJOIN({",",";"},TRUE,"a","b","c")</f>
        <v>a,b;c</v>
      </c>
    </row>
    <row r="40" spans="1:1" x14ac:dyDescent="0.2">
      <c r="A40" t="str">
        <f>"a"&amp;1.5&amp;TRUE</f>
        <v>a1.5TRUE</v>
      </c>
    </row>
    <row r="41" spans="1:1" x14ac:dyDescent="0.2">
      <c r="A41" t="str">
        <f>1&amp;2</f>
        <v>12</v>
      </c>
    </row>
    <row r="42" spans="1:1" x14ac:dyDescent="0.2">
      <c r="A42" t="str">
        <f>Data!H1&amp;"x"</f>
        <v>x</v>
      </c>
    </row>
    <row r="43" spans="1:1" x14ac:dyDescent="0.2">
      <c r="A43" t="str">
        <f>REPT("ab",3)</f>
        <v>ababab</v>
      </c>
    </row>
    <row r="44" spans="1:1" x14ac:dyDescent="0.2">
      <c r="A44" t="str">
        <f>REPT("x",0)</f>
        <v/>
      </c>
    </row>
    <row r="45" spans="1:1" x14ac:dyDescent="0.2">
      <c r="A45" t="e">
        <f>REPT("x",-1)</f>
        <v>#VALUE!</v>
      </c>
    </row>
    <row r="46" spans="1:1" x14ac:dyDescent="0.2">
      <c r="A46" t="str">
        <f>REPT("x",2.9)</f>
        <v>xx</v>
      </c>
    </row>
    <row r="47" spans="1:1" x14ac:dyDescent="0.2">
      <c r="A47">
        <f>LEN(REPT("x",32767))</f>
        <v>32767</v>
      </c>
    </row>
    <row r="48" spans="1:1" x14ac:dyDescent="0.2">
      <c r="A48" t="e">
        <f>REPT("x",32768)</f>
        <v>#VALUE!</v>
      </c>
    </row>
    <row r="49" spans="1:1" x14ac:dyDescent="0.2">
      <c r="A49" t="str">
        <f>SUBSTITUTE("a-b-c","-","+")</f>
        <v>a+b+c</v>
      </c>
    </row>
    <row r="50" spans="1:1" x14ac:dyDescent="0.2">
      <c r="A50" t="str">
        <f>SUBSTITUTE("a-b-c","-","+",2)</f>
        <v>a-b+c</v>
      </c>
    </row>
    <row r="51" spans="1:1" x14ac:dyDescent="0.2">
      <c r="A51" t="str">
        <f>SUBSTITUTE("aaa","a","b",4)</f>
        <v>aaa</v>
      </c>
    </row>
    <row r="52" spans="1:1" x14ac:dyDescent="0.2">
      <c r="A52" t="str">
        <f>SUBSTITUTE("Abc","a","x")</f>
        <v>Abc</v>
      </c>
    </row>
    <row r="53" spans="1:1" x14ac:dyDescent="0.2">
      <c r="A53" t="str">
        <f>SUBSTITUTE("abc","","x")</f>
        <v>abc</v>
      </c>
    </row>
    <row r="54" spans="1:1" x14ac:dyDescent="0.2">
      <c r="A54" t="str">
        <f>REPLACE("abcdef",2,3,"X")</f>
        <v>aXef</v>
      </c>
    </row>
    <row r="55" spans="1:1" x14ac:dyDescent="0.2">
      <c r="A55" t="str">
        <f>REPLACE("abc",5,1,"X")</f>
        <v>abcX</v>
      </c>
    </row>
    <row r="56" spans="1:1" x14ac:dyDescent="0.2">
      <c r="A56" t="e">
        <f>REPLACE("abc",0,1,"X")</f>
        <v>#VALUE!</v>
      </c>
    </row>
    <row r="57" spans="1:1" x14ac:dyDescent="0.2">
      <c r="A57">
        <f>FIND("b","abcb")</f>
        <v>2</v>
      </c>
    </row>
    <row r="58" spans="1:1" x14ac:dyDescent="0.2">
      <c r="A58">
        <f>FIND("b","abcb",3)</f>
        <v>4</v>
      </c>
    </row>
    <row r="59" spans="1:1" x14ac:dyDescent="0.2">
      <c r="A59" t="e">
        <f>FIND("B","abc")</f>
        <v>#VALUE!</v>
      </c>
    </row>
    <row r="60" spans="1:1" x14ac:dyDescent="0.2">
      <c r="A60">
        <f>FIND("","abc")</f>
        <v>1</v>
      </c>
    </row>
    <row r="61" spans="1:1" x14ac:dyDescent="0.2">
      <c r="A61" t="e">
        <f>FIND("c","abc",5)</f>
        <v>#VALUE!</v>
      </c>
    </row>
    <row r="62" spans="1:1" x14ac:dyDescent="0.2">
      <c r="A62">
        <f>SEARCH("B","abc")</f>
        <v>2</v>
      </c>
    </row>
    <row r="63" spans="1:1" x14ac:dyDescent="0.2">
      <c r="A63">
        <f>SEARCH("b?","abcb")</f>
        <v>2</v>
      </c>
    </row>
    <row r="64" spans="1:1" x14ac:dyDescent="0.2">
      <c r="A64">
        <f>SEARCH("*c","abc")</f>
        <v>1</v>
      </c>
    </row>
    <row r="65" spans="1:1" x14ac:dyDescent="0.2">
      <c r="A65">
        <f>SEARCH("~*","a*b")</f>
        <v>2</v>
      </c>
    </row>
    <row r="66" spans="1:1" x14ac:dyDescent="0.2">
      <c r="A66" t="e">
        <f>SEARCH("x","abc")</f>
        <v>#VALUE!</v>
      </c>
    </row>
    <row r="67" spans="1:1" x14ac:dyDescent="0.2">
      <c r="A67">
        <f>SEARCH("","abc",2)</f>
        <v>2</v>
      </c>
    </row>
    <row r="68" spans="1:1" x14ac:dyDescent="0.2">
      <c r="A68" t="b">
        <f>EXACT("a","A")</f>
        <v>0</v>
      </c>
    </row>
    <row r="69" spans="1:1" x14ac:dyDescent="0.2">
      <c r="A69" t="b">
        <f>EXACT("a","a")</f>
        <v>1</v>
      </c>
    </row>
    <row r="70" spans="1:1" x14ac:dyDescent="0.2">
      <c r="A70" t="b">
        <f>EXACT(1,"1")</f>
        <v>1</v>
      </c>
    </row>
    <row r="71" spans="1:1" x14ac:dyDescent="0.2">
      <c r="A71">
        <f>VALUE("1,234.5")</f>
        <v>1234.5</v>
      </c>
    </row>
    <row r="72" spans="1:1" x14ac:dyDescent="0.2">
      <c r="A72">
        <f>VALUE("$1,200")</f>
        <v>1200</v>
      </c>
    </row>
    <row r="73" spans="1:1" x14ac:dyDescent="0.2">
      <c r="A73">
        <f>VALUE("12%")</f>
        <v>0.12</v>
      </c>
    </row>
    <row r="74" spans="1:1" x14ac:dyDescent="0.2">
      <c r="A74">
        <f>VALUE("1e3")</f>
        <v>1000</v>
      </c>
    </row>
    <row r="75" spans="1:1" x14ac:dyDescent="0.2">
      <c r="A75">
        <f>VALUE(" 42 ")</f>
        <v>42</v>
      </c>
    </row>
    <row r="76" spans="1:1" x14ac:dyDescent="0.2">
      <c r="A76">
        <f>VALUE("3/4/2025")</f>
        <v>45720</v>
      </c>
    </row>
    <row r="77" spans="1:1" x14ac:dyDescent="0.2">
      <c r="A77">
        <f>VALUE("12:30")</f>
        <v>0.52083333333333337</v>
      </c>
    </row>
    <row r="78" spans="1:1" x14ac:dyDescent="0.2">
      <c r="A78">
        <f>VALUE("(5)")</f>
        <v>-5</v>
      </c>
    </row>
    <row r="79" spans="1:1" x14ac:dyDescent="0.2">
      <c r="A79">
        <f>VALUE("1 1/2")</f>
        <v>1.5</v>
      </c>
    </row>
    <row r="80" spans="1:1" x14ac:dyDescent="0.2">
      <c r="A80" t="e">
        <f>VALUE("abc")</f>
        <v>#VALUE!</v>
      </c>
    </row>
    <row r="81" spans="1:1" x14ac:dyDescent="0.2">
      <c r="A81" t="e">
        <f>VALUE("")</f>
        <v>#VALUE!</v>
      </c>
    </row>
    <row r="82" spans="1:1" x14ac:dyDescent="0.2">
      <c r="A82" t="e">
        <f>VALUE(TRUE)</f>
        <v>#VALUE!</v>
      </c>
    </row>
    <row r="83" spans="1:1" x14ac:dyDescent="0.2">
      <c r="A83">
        <f>_xlfn.NUMBERVALUE("1.234,5",",",".")</f>
        <v>1234.5</v>
      </c>
    </row>
    <row r="84" spans="1:1" x14ac:dyDescent="0.2">
      <c r="A84">
        <f>_xlfn.NUMBERVALUE("12%%")</f>
        <v>1.1999999999999999E-3</v>
      </c>
    </row>
    <row r="85" spans="1:1" x14ac:dyDescent="0.2">
      <c r="A85">
        <f>_xlfn.NUMBERVALUE(" 1 000 ")</f>
        <v>1000</v>
      </c>
    </row>
    <row r="86" spans="1:1" x14ac:dyDescent="0.2">
      <c r="A86">
        <f>_xlfn.NUMBERVALUE("")</f>
        <v>0</v>
      </c>
    </row>
    <row r="87" spans="1:1" x14ac:dyDescent="0.2">
      <c r="A87" t="str">
        <f>FIXED(1234.567)</f>
        <v>1,234.57</v>
      </c>
    </row>
    <row r="88" spans="1:1" x14ac:dyDescent="0.2">
      <c r="A88" t="str">
        <f>FIXED(1234.567,1)</f>
        <v>1,234.6</v>
      </c>
    </row>
    <row r="89" spans="1:1" x14ac:dyDescent="0.2">
      <c r="A89" t="str">
        <f>FIXED(1234.567,-1)</f>
        <v>1,230</v>
      </c>
    </row>
    <row r="90" spans="1:1" x14ac:dyDescent="0.2">
      <c r="A90" t="str">
        <f>FIXED(1234.567,2,TRUE)</f>
        <v>1234.57</v>
      </c>
    </row>
    <row r="91" spans="1:1" x14ac:dyDescent="0.2">
      <c r="A91" t="str">
        <f>FIXED(-0.5,0)</f>
        <v>-1</v>
      </c>
    </row>
    <row r="92" spans="1:1" x14ac:dyDescent="0.2">
      <c r="A92" t="str">
        <f>DOLLAR(1234.567)</f>
        <v>$1,234.57</v>
      </c>
    </row>
    <row r="93" spans="1:1" x14ac:dyDescent="0.2">
      <c r="A93" t="str">
        <f>DOLLAR(-1234.567,1)</f>
        <v>($1,234.6)</v>
      </c>
    </row>
    <row r="94" spans="1:1" x14ac:dyDescent="0.2">
      <c r="A94" t="str">
        <f>DOLLAR(0.5,0)</f>
        <v>$1</v>
      </c>
    </row>
    <row r="95" spans="1:1" x14ac:dyDescent="0.2">
      <c r="A95" t="str">
        <f>CHAR(65)</f>
        <v>A</v>
      </c>
    </row>
    <row r="96" spans="1:1" x14ac:dyDescent="0.2">
      <c r="A96" t="e">
        <f>CHAR(0)</f>
        <v>#VALUE!</v>
      </c>
    </row>
    <row r="97" spans="1:1" x14ac:dyDescent="0.2">
      <c r="A97" t="e">
        <f>CHAR(256)</f>
        <v>#VALUE!</v>
      </c>
    </row>
    <row r="98" spans="1:1" x14ac:dyDescent="0.2">
      <c r="A98">
        <f>CODE("A")</f>
        <v>65</v>
      </c>
    </row>
    <row r="99" spans="1:1" x14ac:dyDescent="0.2">
      <c r="A99">
        <f>CODE("abc")</f>
        <v>97</v>
      </c>
    </row>
    <row r="100" spans="1:1" x14ac:dyDescent="0.2">
      <c r="A100" t="e">
        <f>CODE("")</f>
        <v>#VALUE!</v>
      </c>
    </row>
    <row r="101" spans="1:1" x14ac:dyDescent="0.2">
      <c r="A101" t="str">
        <f>_xlfn.UNICHAR(8364)</f>
        <v>€</v>
      </c>
    </row>
    <row r="102" spans="1:1" x14ac:dyDescent="0.2">
      <c r="A102" t="e">
        <f>_xlfn.UNICHAR(0)</f>
        <v>#VALUE!</v>
      </c>
    </row>
    <row r="103" spans="1:1" x14ac:dyDescent="0.2">
      <c r="A103">
        <f>_xlfn.UNICODE("€")</f>
        <v>8364</v>
      </c>
    </row>
    <row r="104" spans="1:1" x14ac:dyDescent="0.2">
      <c r="A104">
        <f>_xlfn.UNICODE(_xlfn.UNICHAR(128512))</f>
        <v>128512</v>
      </c>
    </row>
    <row r="105" spans="1:1" x14ac:dyDescent="0.2">
      <c r="A105" t="str">
        <f>T("text")</f>
        <v>text</v>
      </c>
    </row>
    <row r="106" spans="1:1" x14ac:dyDescent="0.2">
      <c r="A106" t="str">
        <f>T(5)</f>
        <v/>
      </c>
    </row>
    <row r="107" spans="1:1" x14ac:dyDescent="0.2">
      <c r="A107" t="str">
        <f>T(Data!E1)</f>
        <v>apple</v>
      </c>
    </row>
    <row r="108" spans="1:1" x14ac:dyDescent="0.2">
      <c r="A108" t="str">
        <f>_xlfn.TEXTBEFORE("a-b-c","-")</f>
        <v>a</v>
      </c>
    </row>
    <row r="109" spans="1:1" x14ac:dyDescent="0.2">
      <c r="A109" t="str">
        <f>_xlfn.TEXTBEFORE("a-b-c","-",2)</f>
        <v>a-b</v>
      </c>
    </row>
    <row r="110" spans="1:1" x14ac:dyDescent="0.2">
      <c r="A110" t="str">
        <f>_xlfn.TEXTBEFORE("a-b-c","-",-1)</f>
        <v>a-b</v>
      </c>
    </row>
    <row r="111" spans="1:1" x14ac:dyDescent="0.2">
      <c r="A111" t="e">
        <f>_xlfn.TEXTBEFORE("a-b-c","x")</f>
        <v>#N/A</v>
      </c>
    </row>
    <row r="112" spans="1:1" x14ac:dyDescent="0.2">
      <c r="A112" t="str">
        <f>_xlfn.TEXTBEFORE("a-b-c","x",,,,"none")</f>
        <v>none</v>
      </c>
    </row>
    <row r="113" spans="1:1" x14ac:dyDescent="0.2">
      <c r="A113" t="str">
        <f>_xlfn.TEXTBEFORE("aXbxc","x",1,1)</f>
        <v>a</v>
      </c>
    </row>
    <row r="114" spans="1:1" x14ac:dyDescent="0.2">
      <c r="A114" t="e">
        <f>_xlfn.TEXTBEFORE("a-b","-",3)</f>
        <v>#N/A</v>
      </c>
    </row>
    <row r="115" spans="1:1" x14ac:dyDescent="0.2">
      <c r="A115" t="str">
        <f>_xlfn.TEXTBEFORE("a-b","-",2,,1)</f>
        <v>a-b</v>
      </c>
    </row>
    <row r="116" spans="1:1" x14ac:dyDescent="0.2">
      <c r="A116" t="str">
        <f>_xlfn.TEXTBEFORE("abc","")</f>
        <v/>
      </c>
    </row>
    <row r="117" spans="1:1" x14ac:dyDescent="0.2">
      <c r="A117" t="str">
        <f>_xlfn.TEXTAFTER("a-b-c","-")</f>
        <v>b-c</v>
      </c>
    </row>
    <row r="118" spans="1:1" x14ac:dyDescent="0.2">
      <c r="A118" t="str">
        <f>_xlfn.TEXTAFTER("a-b-c","-",2)</f>
        <v>c</v>
      </c>
    </row>
    <row r="119" spans="1:1" x14ac:dyDescent="0.2">
      <c r="A119" t="str">
        <f>_xlfn.TEXTAFTER("a-b-c","-",-1)</f>
        <v>c</v>
      </c>
    </row>
    <row r="120" spans="1:1" x14ac:dyDescent="0.2">
      <c r="A120" t="str">
        <f>_xlfn.TEXTAFTER("a-b-c","x",,,,"none")</f>
        <v>none</v>
      </c>
    </row>
    <row r="121" spans="1:1" x14ac:dyDescent="0.2">
      <c r="A121" t="str">
        <f>_xlfn.TEXTAFTER("aXbxc","x",-1,1)</f>
        <v>c</v>
      </c>
    </row>
    <row r="122" spans="1:1" x14ac:dyDescent="0.2">
      <c r="A122" t="e">
        <f>_xlfn.TEXTAFTER("a-b","-",0)</f>
        <v>#VALUE!</v>
      </c>
    </row>
    <row r="123" spans="1:1" x14ac:dyDescent="0.2">
      <c r="A123" t="str">
        <f>INDEX(_xlfn.TEXTSPLIT("a,b;c,d",",",";"),2,1)</f>
        <v>c</v>
      </c>
    </row>
    <row r="124" spans="1:1" x14ac:dyDescent="0.2">
      <c r="A124">
        <f>COUNTA(_xlfn.TEXTSPLIT("a,,b",",",,TRUE))</f>
        <v>2</v>
      </c>
    </row>
    <row r="125" spans="1:1" x14ac:dyDescent="0.2">
      <c r="A125" t="str">
        <f>INDEX(_xlfn.TEXTSPLIT("a,,b",","),1,3)</f>
        <v>b</v>
      </c>
    </row>
    <row r="126" spans="1:1" x14ac:dyDescent="0.2">
      <c r="A126" t="str">
        <f>_xlfn.VALUETOTEXT("x",1)</f>
        <v>"x"</v>
      </c>
    </row>
    <row r="127" spans="1:1" x14ac:dyDescent="0.2">
      <c r="A127" t="str">
        <f>_xlfn.VALUETOTEXT(12.5)</f>
        <v>12.5</v>
      </c>
    </row>
    <row r="128" spans="1:1" x14ac:dyDescent="0.2">
      <c r="A128" t="str">
        <f>_xlfn.ARRAYTOTEXT({1,"a";TRUE,2})</f>
        <v>1, a, TRUE, 2</v>
      </c>
    </row>
    <row r="129" spans="1:1" x14ac:dyDescent="0.2">
      <c r="A129" t="str">
        <f>_xlfn.ARRAYTOTEXT({1,"a";TRUE,2},1)</f>
        <v>{1,"a";TRUE,2}</v>
      </c>
    </row>
    <row r="130" spans="1:1" x14ac:dyDescent="0.2">
      <c r="A130" t="str">
        <f>MID("a"&amp;_xlfn.UNICHAR(128512)&amp;"b",2,2)</f>
        <v>😀b</v>
      </c>
    </row>
    <row r="131" spans="1:1" x14ac:dyDescent="0.2">
      <c r="A131" t="str">
        <f>LEFT("é"&amp;"x",1)</f>
        <v>é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CBBA-4FC9-A045-9672-452B73240655}">
  <dimension ref="A1:U10"/>
  <sheetViews>
    <sheetView tabSelected="1" workbookViewId="0"/>
  </sheetViews>
  <sheetFormatPr baseColWidth="10" defaultRowHeight="16" x14ac:dyDescent="0.2"/>
  <sheetData>
    <row r="1" spans="1:21" x14ac:dyDescent="0.2">
      <c r="A1">
        <v>3</v>
      </c>
      <c r="E1" s="1" t="s">
        <v>5</v>
      </c>
      <c r="U1" s="1" t="s">
        <v>1</v>
      </c>
    </row>
    <row r="2" spans="1:21" x14ac:dyDescent="0.2">
      <c r="A2">
        <v>1</v>
      </c>
      <c r="E2" s="1" t="s">
        <v>6</v>
      </c>
      <c r="H2" t="str">
        <f>""</f>
        <v/>
      </c>
      <c r="U2" s="1" t="s">
        <v>2</v>
      </c>
    </row>
    <row r="3" spans="1:21" x14ac:dyDescent="0.2">
      <c r="A3">
        <v>4</v>
      </c>
      <c r="E3" s="1" t="s">
        <v>7</v>
      </c>
      <c r="H3" s="1" t="s">
        <v>0</v>
      </c>
      <c r="U3" s="1" t="s">
        <v>3</v>
      </c>
    </row>
    <row r="4" spans="1:21" x14ac:dyDescent="0.2">
      <c r="A4">
        <v>1</v>
      </c>
      <c r="E4" s="1" t="s">
        <v>8</v>
      </c>
      <c r="H4">
        <v>0</v>
      </c>
      <c r="U4" s="1" t="s">
        <v>4</v>
      </c>
    </row>
    <row r="5" spans="1:21" x14ac:dyDescent="0.2">
      <c r="A5">
        <v>5</v>
      </c>
      <c r="E5" s="1" t="s">
        <v>9</v>
      </c>
    </row>
    <row r="6" spans="1:21" x14ac:dyDescent="0.2">
      <c r="A6">
        <v>9</v>
      </c>
      <c r="E6" s="1" t="s">
        <v>10</v>
      </c>
    </row>
    <row r="7" spans="1:21" x14ac:dyDescent="0.2">
      <c r="A7">
        <v>2</v>
      </c>
    </row>
    <row r="8" spans="1:21" x14ac:dyDescent="0.2">
      <c r="A8">
        <v>6</v>
      </c>
    </row>
    <row r="9" spans="1:21" x14ac:dyDescent="0.2">
      <c r="A9">
        <v>5</v>
      </c>
    </row>
    <row r="10" spans="1:21" x14ac:dyDescent="0.2">
      <c r="A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2026-10-30T04:44:10Z</dcterms:created>
  <dcterms:modified xsi:type="dcterms:W3CDTF">2026-10-30T04:44:14Z</dcterms:modified>
</cp:coreProperties>
</file>