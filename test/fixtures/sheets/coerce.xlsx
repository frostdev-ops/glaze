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1506B7D6-0DAB-5946-81E9-2D0EE2B4D91E}" xr6:coauthVersionLast="47" xr6:coauthVersionMax="47" xr10:uidLastSave="{00000000-0000-0000-0000-000000000000}"/>
  <bookViews>
    <workbookView xWindow="3980" yWindow="2780" windowWidth="28040" windowHeight="17180" activeTab="1" xr2:uid="{BD76840C-2443-6C48-B05D-7DA81DA00BE8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4" i="1" l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 a="1"/>
  <c r="A65" i="1" a="1"/>
  <c r="A64" i="1" a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H2" i="2"/>
  <c r="A17" i="1" l="1"/>
  <c r="A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<sst xmlns="http://schemas.openxmlformats.org/spreadsheetml/2006/main" count="4" uniqueCount="4">
  <si>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 </t>
  </si>
  <si>
    <t>text</t>
  </si>
  <si>
    <t>5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</si>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</sst>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1C78-5F69-AD43-B9A7-6688C7E8F603}">
  <dimension ref="A1:A84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>
        <f>"1"+1</f>
        <v>2</v>
      </c>
    </row>
    <row r="2" spans="1:1" x14ac:dyDescent="0.2">
      <c r="A2" t="str">
        <f>"1"&amp;1</f>
        <v>11</v>
      </c>
    </row>
    <row r="3" spans="1:1" x14ac:dyDescent="0.2">
      <c r="A3">
        <f>"1/2/2025"+0</f>
        <v>45659</v>
      </c>
    </row>
    <row r="4" spans="1:1" x14ac:dyDescent="0.2">
      <c r="A4">
        <f>"$1,200"+0</f>
        <v>1200</v>
      </c>
    </row>
    <row r="5" spans="1:1" x14ac:dyDescent="0.2">
      <c r="A5">
        <f>"12%"+0</f>
        <v>0.12</v>
      </c>
    </row>
    <row r="6" spans="1:1" x14ac:dyDescent="0.2">
      <c r="A6">
        <f>"1e3"+0</f>
        <v>1000</v>
      </c>
    </row>
    <row r="7" spans="1:1" x14ac:dyDescent="0.2">
      <c r="A7">
        <f>" 3 "+0</f>
        <v>3</v>
      </c>
    </row>
    <row r="8" spans="1:1" x14ac:dyDescent="0.2">
      <c r="A8">
        <f>"(5)"*1</f>
        <v>-5</v>
      </c>
    </row>
    <row r="9" spans="1:1" x14ac:dyDescent="0.2">
      <c r="A9">
        <f>"3:30"*1</f>
        <v>0.14583333333333334</v>
      </c>
    </row>
    <row r="10" spans="1:1" x14ac:dyDescent="0.2">
      <c r="A10" t="e">
        <f>""+0</f>
        <v>#VALUE!</v>
      </c>
    </row>
    <row r="11" spans="1:1" x14ac:dyDescent="0.2">
      <c r="A11" t="e">
        <f>"abc"+1</f>
        <v>#VALUE!</v>
      </c>
    </row>
    <row r="12" spans="1:1" x14ac:dyDescent="0.2">
      <c r="A12" t="e">
        <f>"TRUE"+0</f>
        <v>#VALUE!</v>
      </c>
    </row>
    <row r="13" spans="1:1" x14ac:dyDescent="0.2">
      <c r="A13">
        <f>TRUE+TRUE</f>
        <v>2</v>
      </c>
    </row>
    <row r="14" spans="1:1" x14ac:dyDescent="0.2">
      <c r="A14">
        <f>--"3"</f>
        <v>3</v>
      </c>
    </row>
    <row r="15" spans="1:1" x14ac:dyDescent="0.2">
      <c r="A15">
        <f>-"-3"</f>
        <v>3</v>
      </c>
    </row>
    <row r="16" spans="1:1" x14ac:dyDescent="0.2">
      <c r="A16">
        <f>Data!H1+1</f>
        <v>1</v>
      </c>
    </row>
    <row r="17" spans="1:1" x14ac:dyDescent="0.2">
      <c r="A17" t="e">
        <f>Data!H2+1</f>
        <v>#VALUE!</v>
      </c>
    </row>
    <row r="18" spans="1:1" x14ac:dyDescent="0.2">
      <c r="A18" t="e">
        <f>Data!H3+1</f>
        <v>#VALUE!</v>
      </c>
    </row>
    <row r="19" spans="1:1" x14ac:dyDescent="0.2">
      <c r="A19" t="str">
        <f>Data!H1&amp;""</f>
        <v/>
      </c>
    </row>
    <row r="20" spans="1:1" x14ac:dyDescent="0.2">
      <c r="A20">
        <f>-Data!H1</f>
        <v>0</v>
      </c>
    </row>
    <row r="21" spans="1:1" x14ac:dyDescent="0.2">
      <c r="A21">
        <f>Data!C6*2</f>
        <v>10</v>
      </c>
    </row>
    <row r="22" spans="1:1" x14ac:dyDescent="0.2">
      <c r="A22" t="e">
        <f>Data!I4+0</f>
        <v>#VALUE!</v>
      </c>
    </row>
    <row r="23" spans="1:1" x14ac:dyDescent="0.2">
      <c r="A23">
        <f>Data!I1+0</f>
        <v>1</v>
      </c>
    </row>
    <row r="24" spans="1:1" x14ac:dyDescent="0.2">
      <c r="A24">
        <f>SUM(Data!C6)</f>
        <v>0</v>
      </c>
    </row>
    <row r="25" spans="1:1" x14ac:dyDescent="0.2">
      <c r="A25">
        <f>SUM(Data!C6+0)</f>
        <v>5</v>
      </c>
    </row>
    <row r="26" spans="1:1" x14ac:dyDescent="0.2">
      <c r="A26">
        <f>COUNT("5",5,TRUE,"x")</f>
        <v>3</v>
      </c>
    </row>
    <row r="27" spans="1:1" x14ac:dyDescent="0.2">
      <c r="A27">
        <f>MAX(Data!I1:I4)</f>
        <v>0</v>
      </c>
    </row>
    <row r="28" spans="1:1" x14ac:dyDescent="0.2">
      <c r="A28">
        <f>MAX(TRUE,0)</f>
        <v>1</v>
      </c>
    </row>
    <row r="29" spans="1:1" x14ac:dyDescent="0.2">
      <c r="A29" t="b">
        <f>1&lt;"1"</f>
        <v>1</v>
      </c>
    </row>
    <row r="30" spans="1:1" x14ac:dyDescent="0.2">
      <c r="A30" t="b">
        <f>"a"&lt;"B"</f>
        <v>1</v>
      </c>
    </row>
    <row r="31" spans="1:1" x14ac:dyDescent="0.2">
      <c r="A31" t="b">
        <f>"a"="A"</f>
        <v>1</v>
      </c>
    </row>
    <row r="32" spans="1:1" x14ac:dyDescent="0.2">
      <c r="A32" t="b">
        <f>"Z"&lt;FALSE</f>
        <v>1</v>
      </c>
    </row>
    <row r="33" spans="1:1" x14ac:dyDescent="0.2">
      <c r="A33" t="b">
        <f>FALSE&lt;TRUE</f>
        <v>1</v>
      </c>
    </row>
    <row r="34" spans="1:1" x14ac:dyDescent="0.2">
      <c r="A34" t="b">
        <f>TRUE&gt;1</f>
        <v>1</v>
      </c>
    </row>
    <row r="35" spans="1:1" x14ac:dyDescent="0.2">
      <c r="A35" t="b">
        <f>FALSE=0</f>
        <v>0</v>
      </c>
    </row>
    <row r="36" spans="1:1" x14ac:dyDescent="0.2">
      <c r="A36" t="b">
        <f>"10"&lt;"9"</f>
        <v>1</v>
      </c>
    </row>
    <row r="37" spans="1:1" x14ac:dyDescent="0.2">
      <c r="A37" t="b">
        <f>"abc"&lt;"abcd"</f>
        <v>1</v>
      </c>
    </row>
    <row r="38" spans="1:1" x14ac:dyDescent="0.2">
      <c r="A38" t="b">
        <f>"b"&lt;"aa"</f>
        <v>0</v>
      </c>
    </row>
    <row r="39" spans="1:1" x14ac:dyDescent="0.2">
      <c r="A39" t="b">
        <f>"é"&gt;"e"</f>
        <v>1</v>
      </c>
    </row>
    <row r="40" spans="1:1" x14ac:dyDescent="0.2">
      <c r="A40" t="b">
        <f>"a"&lt;"b "</f>
        <v>1</v>
      </c>
    </row>
    <row r="41" spans="1:1" x14ac:dyDescent="0.2">
      <c r="A41" t="b">
        <f>Data!H1=0</f>
        <v>1</v>
      </c>
    </row>
    <row r="42" spans="1:1" x14ac:dyDescent="0.2">
      <c r="A42" t="b">
        <f>Data!H1=""</f>
        <v>1</v>
      </c>
    </row>
    <row r="43" spans="1:1" x14ac:dyDescent="0.2">
      <c r="A43" t="b">
        <f>Data!H1=FALSE</f>
        <v>1</v>
      </c>
    </row>
    <row r="44" spans="1:1" x14ac:dyDescent="0.2">
      <c r="A44" t="b">
        <f>Data!H2=Data!H1</f>
        <v>1</v>
      </c>
    </row>
    <row r="45" spans="1:1" x14ac:dyDescent="0.2">
      <c r="A45" t="b">
        <f>Data!H3=""</f>
        <v>0</v>
      </c>
    </row>
    <row r="46" spans="1:1" x14ac:dyDescent="0.2">
      <c r="A46" t="b">
        <f>1=1+2^-52</f>
        <v>1</v>
      </c>
    </row>
    <row r="47" spans="1:1" x14ac:dyDescent="0.2">
      <c r="A47" t="b">
        <f>0.1+0.2=0.3</f>
        <v>1</v>
      </c>
    </row>
    <row r="48" spans="1:1" x14ac:dyDescent="0.2">
      <c r="A48" t="b">
        <f>1&lt;&gt;1</f>
        <v>0</v>
      </c>
    </row>
    <row r="49" spans="1:1" x14ac:dyDescent="0.2">
      <c r="A49" t="b">
        <f>"A"&lt;&gt;"a"</f>
        <v>0</v>
      </c>
    </row>
    <row r="50" spans="1:1" x14ac:dyDescent="0.2">
      <c r="A50" t="str">
        <f>1&amp;TRUE</f>
        <v>1TRUE</v>
      </c>
    </row>
    <row r="51" spans="1:1" x14ac:dyDescent="0.2">
      <c r="A51" t="str">
        <f>0.1+0.2&amp;""</f>
        <v>0.3</v>
      </c>
    </row>
    <row r="52" spans="1:1" x14ac:dyDescent="0.2">
      <c r="A52" t="str">
        <f>1/3&amp;""</f>
        <v>0.333333333333333</v>
      </c>
    </row>
    <row r="53" spans="1:1" x14ac:dyDescent="0.2">
      <c r="A53" t="str">
        <f>2/3&amp;""</f>
        <v>0.666666666666667</v>
      </c>
    </row>
    <row r="54" spans="1:1" x14ac:dyDescent="0.2">
      <c r="A54" t="str">
        <f>1E+21&amp;""</f>
        <v>1E+21</v>
      </c>
    </row>
    <row r="55" spans="1:1" x14ac:dyDescent="0.2">
      <c r="A55" t="str">
        <f>2^53&amp;""</f>
        <v>9007199254740990</v>
      </c>
    </row>
    <row r="56" spans="1:1" x14ac:dyDescent="0.2">
      <c r="A56" t="str">
        <f>123456789012345*10000&amp;""</f>
        <v>1234567890123450000</v>
      </c>
    </row>
    <row r="57" spans="1:1" x14ac:dyDescent="0.2">
      <c r="A57" t="str">
        <f>12345678901&amp;""</f>
        <v>12345678901</v>
      </c>
    </row>
    <row r="58" spans="1:1" x14ac:dyDescent="0.2">
      <c r="A58" t="str">
        <f>0.000012345&amp;""</f>
        <v>0.000012345</v>
      </c>
    </row>
    <row r="59" spans="1:1" x14ac:dyDescent="0.2">
      <c r="A59" t="str">
        <f>-0.5&amp;""</f>
        <v>-0.5</v>
      </c>
    </row>
    <row r="60" spans="1:1" x14ac:dyDescent="0.2">
      <c r="A60" t="e">
        <f>1/0</f>
        <v>#DIV/0!</v>
      </c>
    </row>
    <row r="61" spans="1:1" x14ac:dyDescent="0.2">
      <c r="A61" t="e">
        <f>#N/A+#DIV/0!</f>
        <v>#N/A</v>
      </c>
    </row>
    <row r="62" spans="1:1" x14ac:dyDescent="0.2">
      <c r="A62" t="e">
        <f>#DIV/0!+#N/A</f>
        <v>#DIV/0!</v>
      </c>
    </row>
    <row r="63" spans="1:1" x14ac:dyDescent="0.2">
      <c r="A63" t="e">
        <f>Data!G1+Data!G2</f>
        <v>#N/A</v>
      </c>
    </row>
    <row r="64" spans="1:1" x14ac:dyDescent="0.2">
      <c r="A64" t="e" cm="1">
        <f t="array" aca="1" ref="A64" ca="1">NOSUCHFN(1)</f>
        <v>#NAME?</v>
      </c>
    </row>
    <row r="65" spans="1:1" x14ac:dyDescent="0.2">
      <c r="A65" t="e" cm="1">
        <f t="array" ref="A65">NOSUCHNAME</f>
        <v>#NAME?</v>
      </c>
    </row>
    <row r="66" spans="1:1" x14ac:dyDescent="0.2">
      <c r="A66" t="e" cm="1">
        <f t="array" ref="A66">Data!A1:A3 Data!B1:B3</f>
        <v>#NULL!</v>
      </c>
    </row>
    <row r="67" spans="1:1" x14ac:dyDescent="0.2">
      <c r="A67">
        <f>SUM(Data!AC1:AE3 Data!AD2:AD4)</f>
        <v>13</v>
      </c>
    </row>
    <row r="68" spans="1:1" x14ac:dyDescent="0.2">
      <c r="A68" t="e">
        <f>SQRT(-4)</f>
        <v>#NUM!</v>
      </c>
    </row>
    <row r="69" spans="1:1" x14ac:dyDescent="0.2">
      <c r="A69" t="e">
        <f>LN(-1)</f>
        <v>#NUM!</v>
      </c>
    </row>
    <row r="70" spans="1:1" x14ac:dyDescent="0.2">
      <c r="A70" t="e">
        <f>INDEX(Data!A1:A3,5)</f>
        <v>#REF!</v>
      </c>
    </row>
    <row r="71" spans="1:1" x14ac:dyDescent="0.2">
      <c r="A71" t="str">
        <f>IFERROR(#REF!,"r")</f>
        <v>r</v>
      </c>
    </row>
    <row r="72" spans="1:1" x14ac:dyDescent="0.2">
      <c r="A72" t="b">
        <f>ISERROR(#NULL!)</f>
        <v>1</v>
      </c>
    </row>
    <row r="73" spans="1:1" x14ac:dyDescent="0.2">
      <c r="A73" t="e">
        <f>SUM(#N/A,1)</f>
        <v>#N/A</v>
      </c>
    </row>
    <row r="74" spans="1:1" x14ac:dyDescent="0.2">
      <c r="A74">
        <f>IF(FALSE,#N/A,2)</f>
        <v>2</v>
      </c>
    </row>
    <row r="75" spans="1:1" x14ac:dyDescent="0.2">
      <c r="A75" t="e">
        <f>AND(#N/A,FALSE)</f>
        <v>#N/A</v>
      </c>
    </row>
    <row r="76" spans="1:1" x14ac:dyDescent="0.2">
      <c r="A76" t="e">
        <f>1/Data!H1</f>
        <v>#DIV/0!</v>
      </c>
    </row>
    <row r="77" spans="1:1" x14ac:dyDescent="0.2">
      <c r="A77" t="e">
        <f>Data!G2&amp;"x"</f>
        <v>#DIV/0!</v>
      </c>
    </row>
    <row r="78" spans="1:1" x14ac:dyDescent="0.2">
      <c r="A78">
        <f>COUNT(Data!G1:G3)</f>
        <v>1</v>
      </c>
    </row>
    <row r="79" spans="1:1" x14ac:dyDescent="0.2">
      <c r="A79">
        <f>COUNTA(Data!G1:G3)</f>
        <v>3</v>
      </c>
    </row>
    <row r="80" spans="1:1" x14ac:dyDescent="0.2">
      <c r="A80" t="e">
        <f>MAX(Data!G1:G3)</f>
        <v>#N/A</v>
      </c>
    </row>
    <row r="81" spans="1:1" x14ac:dyDescent="0.2">
      <c r="A81" t="e">
        <f>NA()=NA()</f>
        <v>#N/A</v>
      </c>
    </row>
    <row r="82" spans="1:1" x14ac:dyDescent="0.2">
      <c r="A82">
        <f>(0.1+0.2)*10</f>
        <v>3.0000000000000004</v>
      </c>
    </row>
    <row r="83" spans="1:1" x14ac:dyDescent="0.2">
      <c r="A83">
        <f>1/3+1/3+1/3</f>
        <v>1</v>
      </c>
    </row>
    <row r="84" spans="1:1" x14ac:dyDescent="0.2">
      <c r="A84">
        <f>100*1.1</f>
        <v>110.00000000000001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A461-5B1D-9946-87E0-5C4281363A69}">
  <dimension ref="A1:AE10"/>
  <sheetViews>
    <sheetView tabSelected="1" workbookViewId="0"/>
  </sheetViews>
  <sheetFormatPr baseColWidth="10" defaultRowHeight="16" x14ac:dyDescent="0.2"/>
  <sheetData>
    <row r="1" spans="1:31" x14ac:dyDescent="0.2">
      <c r="A1">
        <v>3</v>
      </c>
      <c r="B1">
        <v>2</v>
      </c>
      <c r="C1">
        <v>10</v>
      </c>
      <c r="G1" t="e">
        <v>#N/A</v>
      </c>
      <c r="I1" t="b">
        <v>1</v>
      </c>
      <c r="AC1">
        <v>1</v>
      </c>
      <c r="AD1">
        <v>2</v>
      </c>
      <c r="AE1">
        <v>3</v>
      </c>
    </row>
    <row r="2" spans="1:31" x14ac:dyDescent="0.2">
      <c r="A2">
        <v>1</v>
      </c>
      <c r="B2">
        <v>7</v>
      </c>
      <c r="C2" s="1" t="s">
        <v>1</v>
      </c>
      <c r="G2" t="e">
        <v>#DIV/0!</v>
      </c>
      <c r="H2" t="str">
        <f>""</f>
        <v/>
      </c>
      <c r="I2" t="b">
        <v>0</v>
      </c>
      <c r="AC2">
        <v>4</v>
      </c>
      <c r="AD2">
        <v>5</v>
      </c>
      <c r="AE2">
        <v>6</v>
      </c>
    </row>
    <row r="3" spans="1:31" x14ac:dyDescent="0.2">
      <c r="A3">
        <v>4</v>
      </c>
      <c r="B3">
        <v>1</v>
      </c>
      <c r="C3" t="b">
        <v>1</v>
      </c>
      <c r="G3">
        <v>7</v>
      </c>
      <c r="H3" s="1" t="s">
        <v>0</v>
      </c>
      <c r="I3" t="b">
        <v>1</v>
      </c>
      <c r="AC3">
        <v>7</v>
      </c>
      <c r="AD3">
        <v>8</v>
      </c>
      <c r="AE3">
        <v>9</v>
      </c>
    </row>
    <row r="4" spans="1:31" x14ac:dyDescent="0.2">
      <c r="A4">
        <v>1</v>
      </c>
      <c r="B4">
        <v>8</v>
      </c>
      <c r="H4">
        <v>0</v>
      </c>
      <c r="I4" s="1" t="s">
        <v>3</v>
      </c>
      <c r="AC4">
        <v>10</v>
      </c>
      <c r="AD4">
        <v>11</v>
      </c>
      <c r="AE4">
        <v>12</v>
      </c>
    </row>
    <row r="5" spans="1:31" x14ac:dyDescent="0.2">
      <c r="A5">
        <v>5</v>
      </c>
      <c r="B5">
        <v>2</v>
      </c>
      <c r="C5">
        <v>20</v>
      </c>
    </row>
    <row r="6" spans="1:31" x14ac:dyDescent="0.2">
      <c r="A6">
        <v>9</v>
      </c>
      <c r="B6">
        <v>8</v>
      </c>
      <c r="C6" s="1" t="s">
        <v>2</v>
      </c>
    </row>
    <row r="7" spans="1:31" x14ac:dyDescent="0.2">
      <c r="A7">
        <v>2</v>
      </c>
      <c r="B7">
        <v>1</v>
      </c>
      <c r="C7" t="b">
        <v>0</v>
      </c>
    </row>
    <row r="8" spans="1:31" x14ac:dyDescent="0.2">
      <c r="A8">
        <v>6</v>
      </c>
      <c r="B8">
        <v>8</v>
      </c>
      <c r="C8">
        <v>30</v>
      </c>
    </row>
    <row r="9" spans="1:31" x14ac:dyDescent="0.2">
      <c r="A9">
        <v>5</v>
      </c>
      <c r="B9">
        <v>2</v>
      </c>
    </row>
    <row r="10" spans="1:31" x14ac:dyDescent="0.2">
      <c r="A10">
        <v>3</v>
      </c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2026-10-30T04:44:24Z</dcterms:created>
  <dcterms:modified xsi:type="dcterms:W3CDTF">2026-10-30T04:44:27Z</dcterms:modified>
</cp:coreProperties>
</file>